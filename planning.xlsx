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1"/>
  </bookViews>
  <sheets>
    <sheet name="Feuille 1" sheetId="1" state="visible" r:id="rId1"/>
    <sheet name="Semestre 1 - P1 - P2" sheetId="2" state="visible" r:id="rId2"/>
  </sheets>
  <calcPr refMode="A1" iterate="0" iterateCount="100" iterateDelta="0.0001"/>
</workbook>
</file>

<file path=xl/sharedStrings.xml><?xml version="1.0" encoding="utf-8"?>
<sst xmlns="http://schemas.openxmlformats.org/spreadsheetml/2006/main" count="99" uniqueCount="99">
  <si>
    <t xml:space="preserve">P3 15/01/2024</t>
  </si>
  <si>
    <t xml:space="preserve">P4 04/03/2023</t>
  </si>
  <si>
    <t xml:space="preserve">Mettre l'Ue de stat la semaine du 15/01 au 17/01</t>
  </si>
  <si>
    <t xml:space="preserve">Emploi du temps Alternance - Licence 3 MIASHS Parcours Informatique année 2025-2026</t>
  </si>
  <si>
    <t>Lundi</t>
  </si>
  <si>
    <t>Mardi</t>
  </si>
  <si>
    <t>Mercredi</t>
  </si>
  <si>
    <t>Jeudi</t>
  </si>
  <si>
    <t>Vendredi</t>
  </si>
  <si>
    <t>8h20/10h20</t>
  </si>
  <si>
    <t>10h50/12h50</t>
  </si>
  <si>
    <t>14h10/16h10</t>
  </si>
  <si>
    <t>16h25/18h25</t>
  </si>
  <si>
    <t>10h50/12h49</t>
  </si>
  <si>
    <t xml:space="preserve">S1
07/09/26 au 11/09/26</t>
  </si>
  <si>
    <r>
      <rPr>
        <b/>
        <color indexed="63"/>
        <rFont val="Calibri"/>
        <sz val="16"/>
      </rPr>
      <t xml:space="preserve">Presentation de la Formation L3
</t>
    </r>
    <r>
      <rPr>
        <b/>
        <color indexed="2"/>
        <rFont val="Calibri"/>
        <sz val="16"/>
      </rPr>
      <t>GS146</t>
    </r>
  </si>
  <si>
    <r>
      <rPr>
        <rFont val="Cambria"/>
        <sz val="16"/>
      </rPr>
      <t xml:space="preserve">POO en Python 
</t>
    </r>
    <r>
      <rPr>
        <color indexed="2"/>
        <rFont val="Cambria"/>
        <sz val="16"/>
      </rPr>
      <t xml:space="preserve">CM
</t>
    </r>
    <r>
      <rPr>
        <rFont val="Cambria"/>
        <sz val="16"/>
      </rPr>
      <t xml:space="preserve">Brahim Hamid
GS146</t>
    </r>
  </si>
  <si>
    <r>
      <rPr>
        <color indexed="63"/>
        <rFont val="Calibri"/>
        <sz val="14"/>
      </rPr>
      <t xml:space="preserve">MI0A506T
Anglais
S. Shack
</t>
    </r>
    <r>
      <rPr>
        <b/>
        <color indexed="63"/>
        <rFont val="Calibri"/>
        <sz val="14"/>
      </rPr>
      <t xml:space="preserve">GS146
G1: G2</t>
    </r>
  </si>
  <si>
    <t xml:space="preserve">POO en Python
TD 
(G1: Brahim)
GS146</t>
  </si>
  <si>
    <t xml:space="preserve">POO en Python
TD 
(G2: Elisa)
GS119</t>
  </si>
  <si>
    <r>
      <rPr>
        <color indexed="63"/>
        <rFont val="DejaVu Sans"/>
        <sz val="15"/>
      </rPr>
      <t xml:space="preserve">Prog.Fonct 
</t>
    </r>
    <r>
      <rPr>
        <color indexed="2"/>
        <rFont val="DejaVu Sans"/>
        <sz val="15"/>
      </rPr>
      <t xml:space="preserve">CM
Elisa
GS146</t>
    </r>
  </si>
  <si>
    <r>
      <rPr>
        <color indexed="63"/>
        <rFont val="Calibri"/>
        <sz val="14"/>
      </rPr>
      <t xml:space="preserve">Développement
logiciel-conception
</t>
    </r>
    <r>
      <rPr>
        <color indexed="2"/>
        <rFont val="Calibri"/>
        <sz val="14"/>
      </rPr>
      <t xml:space="preserve">CM
</t>
    </r>
    <r>
      <rPr>
        <color indexed="64"/>
        <rFont val="Calibri"/>
        <sz val="14"/>
      </rPr>
      <t xml:space="preserve">Sophie Ebersold
GS146</t>
    </r>
  </si>
  <si>
    <t xml:space="preserve">S2
14/09/26 au 18/09/26</t>
  </si>
  <si>
    <r>
      <rPr>
        <color indexed="63"/>
        <rFont val="Calibri"/>
        <sz val="14"/>
      </rPr>
      <t xml:space="preserve">Développement
logiciel-vérification
</t>
    </r>
    <r>
      <rPr>
        <color indexed="2"/>
        <rFont val="Calibri"/>
        <sz val="14"/>
      </rPr>
      <t xml:space="preserve">CM
</t>
    </r>
    <r>
      <rPr>
        <color indexed="63"/>
        <rFont val="Calibri"/>
        <sz val="14"/>
      </rPr>
      <t xml:space="preserve">Brahim Hamid
GS146</t>
    </r>
  </si>
  <si>
    <r>
      <rPr>
        <color rgb="FF38761D"/>
        <rFont val="Calibri"/>
        <sz val="14"/>
      </rPr>
      <t xml:space="preserve">MISH504T
SHS-Sociologie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P. Dufour
</t>
    </r>
    <r>
      <rPr>
        <color indexed="2"/>
        <rFont val="Calibri"/>
        <sz val="14"/>
      </rPr>
      <t>GS134</t>
    </r>
  </si>
  <si>
    <r>
      <rPr>
        <color rgb="FF38761D"/>
        <rFont val="Calibri"/>
        <sz val="14"/>
      </rPr>
      <t xml:space="preserve">MISH504T
SHS-Sociologie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P. Dufour
</t>
    </r>
    <r>
      <rPr>
        <color indexed="2"/>
        <rFont val="Calibri"/>
        <sz val="14"/>
      </rPr>
      <t>GS133</t>
    </r>
  </si>
  <si>
    <r>
      <rPr>
        <color rgb="FF38761D"/>
        <rFont val="Calibri"/>
        <sz val="14"/>
      </rPr>
      <t xml:space="preserve">MI0A503T
Statistique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F. Ferraty
</t>
    </r>
    <r>
      <rPr>
        <color indexed="2"/>
        <rFont val="Calibri"/>
        <sz val="14"/>
      </rPr>
      <t>GS147</t>
    </r>
  </si>
  <si>
    <r>
      <rPr>
        <color indexed="63"/>
        <rFont val="DejaVu Sans"/>
        <sz val="15"/>
      </rPr>
      <t xml:space="preserve">Prog.Fonct 
</t>
    </r>
    <r>
      <rPr>
        <color indexed="2"/>
        <rFont val="DejaVu Sans"/>
        <sz val="15"/>
      </rPr>
      <t xml:space="preserve">TD (G1: Elisa)
GS146</t>
    </r>
  </si>
  <si>
    <r>
      <rPr>
        <color indexed="63"/>
        <rFont val="DejaVu Sans"/>
        <sz val="15"/>
      </rPr>
      <t xml:space="preserve">Prog.Fonct 
</t>
    </r>
    <r>
      <rPr>
        <color indexed="2"/>
        <rFont val="DejaVu Sans"/>
        <sz val="15"/>
      </rPr>
      <t xml:space="preserve">TD (G2:Hamza)
GS119</t>
    </r>
  </si>
  <si>
    <t xml:space="preserve">Développement
logiciel-conception 
TD
G1: sophie  </t>
  </si>
  <si>
    <t xml:space="preserve">Développement
logiciel-conception 
TD
G2: Derouiche</t>
  </si>
  <si>
    <r>
      <rPr>
        <color rgb="FF38761D"/>
        <rFont val="Calibri"/>
        <sz val="14"/>
      </rPr>
      <t xml:space="preserve">MI0A503T 
Statistique
G1-G2-G3
FF/LF/XM
</t>
    </r>
    <r>
      <rPr>
        <b/>
        <color rgb="FF38761D"/>
        <rFont val="Calibri"/>
        <sz val="14"/>
      </rPr>
      <t>GS145</t>
    </r>
    <r>
      <rPr>
        <color rgb="FF38761D"/>
        <rFont val="Calibri"/>
        <sz val="14"/>
      </rPr>
      <t>/GS146/GS037</t>
    </r>
  </si>
  <si>
    <t xml:space="preserve">Développement
logiciel-conception 
TD
G1: sophie
GS146</t>
  </si>
  <si>
    <t xml:space="preserve">Développement
logiciel-conception 
TD
G2: Derouiche
GS119</t>
  </si>
  <si>
    <t xml:space="preserve">S3
21/09/26 au 25/09/26</t>
  </si>
  <si>
    <r>
      <rPr>
        <color rgb="FF38761D"/>
        <rFont val="Calibri"/>
        <sz val="14"/>
      </rPr>
      <t xml:space="preserve">MISH504T
SHS-Sociologie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P. Dufour
</t>
    </r>
    <r>
      <rPr>
        <color indexed="2"/>
        <rFont val="Calibri"/>
        <sz val="14"/>
      </rPr>
      <t>GS133</t>
    </r>
    <r>
      <rPr>
        <color rgb="FF38761D"/>
        <rFont val="Calibri"/>
        <sz val="14"/>
      </rPr>
      <t xml:space="preserve"> </t>
    </r>
  </si>
  <si>
    <r>
      <rPr>
        <color indexed="63"/>
        <rFont val="Calibri"/>
        <sz val="14"/>
      </rPr>
      <t xml:space="preserve">Développement
logiciel-vérification
</t>
    </r>
    <r>
      <rPr>
        <color indexed="2"/>
        <rFont val="Calibri"/>
        <sz val="14"/>
      </rPr>
      <t xml:space="preserve">CM
</t>
    </r>
    <r>
      <rPr>
        <color indexed="63"/>
        <rFont val="Calibri"/>
        <sz val="14"/>
      </rPr>
      <t xml:space="preserve">Brahim Hamid</t>
    </r>
  </si>
  <si>
    <t xml:space="preserve">Développement
logiciel-vérification 
(TD)
 (G2: Hakim)
GS119</t>
  </si>
  <si>
    <t xml:space="preserve">Développement
logiciel-vérification 
(TD)
 (G1: Brahim)
GS146</t>
  </si>
  <si>
    <t xml:space="preserve">S4
28/09/26 au 02/10/26</t>
  </si>
  <si>
    <t xml:space="preserve">Développement
logiciel-vérification:Git
 (Timothee)
GS146</t>
  </si>
  <si>
    <r>
      <rPr>
        <color rgb="FF38761D"/>
        <rFont val="Calibri"/>
        <sz val="14"/>
      </rPr>
      <t xml:space="preserve">MI0A503T
Statistique
CM
F. Ferraty
</t>
    </r>
    <r>
      <rPr>
        <color indexed="2"/>
        <rFont val="Calibri"/>
        <sz val="14"/>
      </rPr>
      <t xml:space="preserve">GS147 </t>
    </r>
  </si>
  <si>
    <r>
      <rPr>
        <color indexed="63"/>
        <rFont val="DejaVu Sans"/>
        <sz val="15"/>
      </rPr>
      <t xml:space="preserve"> C/C++
</t>
    </r>
    <r>
      <rPr>
        <color indexed="2"/>
        <rFont val="DejaVu Sans"/>
        <sz val="15"/>
      </rPr>
      <t xml:space="preserve">CM
Mathieu
GS146</t>
    </r>
  </si>
  <si>
    <t xml:space="preserve">S5
05/10/26 au 09/10/26</t>
  </si>
  <si>
    <r>
      <rPr>
        <color rgb="FF38761D"/>
        <rFont val="Calibri"/>
        <sz val="14"/>
      </rPr>
      <t xml:space="preserve">MI0A503T
Statistique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F. Ferraty
</t>
    </r>
    <r>
      <rPr>
        <color indexed="2"/>
        <rFont val="Calibri"/>
        <sz val="14"/>
      </rPr>
      <t xml:space="preserve">GS147 </t>
    </r>
  </si>
  <si>
    <t xml:space="preserve"> C/C++ 
TD
(G1: Mathieu)
GS146</t>
  </si>
  <si>
    <t xml:space="preserve"> C/C++ 
TD
(G2:Bassem)
GS119</t>
  </si>
  <si>
    <t xml:space="preserve">Développement
logiciel-conception 
Projet 1 Eval TP- G1: sophie G2: Derouiche)</t>
  </si>
  <si>
    <t>Entreprise</t>
  </si>
  <si>
    <t xml:space="preserve">S6
9/11/26 au 13/11/26</t>
  </si>
  <si>
    <r>
      <rPr>
        <color rgb="FF38761D"/>
        <rFont val="Calibri"/>
        <sz val="14"/>
      </rPr>
      <t xml:space="preserve">MISH504T
SHS -SdL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M. Ho Dac                                               
</t>
    </r>
    <r>
      <rPr>
        <b/>
        <color indexed="2"/>
        <rFont val="Calibri"/>
        <sz val="14"/>
      </rPr>
      <t>GS134</t>
    </r>
    <r>
      <rPr>
        <color indexed="2"/>
        <rFont val="Calibri"/>
        <sz val="14"/>
      </rPr>
      <t xml:space="preserve"> </t>
    </r>
  </si>
  <si>
    <r>
      <rPr>
        <color rgb="FF38761D"/>
        <rFont val="Calibri"/>
        <sz val="12"/>
      </rPr>
      <t xml:space="preserve">MISH504T
SHS - SdL
TD (x3)
MHD/LT/NH </t>
    </r>
    <r>
      <rPr>
        <b/>
        <color rgb="FF38761D"/>
        <rFont val="Calibri"/>
        <sz val="12"/>
      </rPr>
      <t>GS145</t>
    </r>
    <r>
      <rPr>
        <color rgb="FF38761D"/>
        <rFont val="Calibri"/>
        <sz val="12"/>
      </rPr>
      <t>/GS146</t>
    </r>
  </si>
  <si>
    <t xml:space="preserve">Développement
logiciel-conception 
TD
(G1: sophie  GS146</t>
  </si>
  <si>
    <r>
      <rPr>
        <color indexed="63"/>
        <rFont val="DejaVu Sans"/>
        <sz val="15"/>
      </rPr>
      <t xml:space="preserve">Prog.Fonct 
</t>
    </r>
    <r>
      <rPr>
        <color indexed="2"/>
        <rFont val="DejaVu Sans"/>
        <sz val="15"/>
      </rPr>
      <t xml:space="preserve">TD (G1: Elisa)</t>
    </r>
  </si>
  <si>
    <r>
      <rPr>
        <color indexed="63"/>
        <rFont val="DejaVu Sans"/>
        <sz val="15"/>
      </rPr>
      <t xml:space="preserve">Prog.Fonct 
</t>
    </r>
    <r>
      <rPr>
        <color indexed="2"/>
        <rFont val="DejaVu Sans"/>
        <sz val="15"/>
      </rPr>
      <t xml:space="preserve">TD (G2:Hamza)</t>
    </r>
  </si>
  <si>
    <r>
      <rPr>
        <color indexed="63"/>
        <rFont val="DejaVu Sans"/>
        <sz val="15"/>
      </rPr>
      <t xml:space="preserve">Crypto/codes
</t>
    </r>
    <r>
      <rPr>
        <color indexed="2"/>
        <rFont val="DejaVu Sans"/>
        <sz val="15"/>
      </rPr>
      <t xml:space="preserve">CM
</t>
    </r>
    <r>
      <rPr>
        <color indexed="64"/>
        <rFont val="DejaVu Sans"/>
        <sz val="15"/>
      </rPr>
      <t xml:space="preserve">Philippe
GS146</t>
    </r>
  </si>
  <si>
    <r>
      <rPr>
        <color indexed="63"/>
        <rFont val="Calibri"/>
        <sz val="14"/>
      </rPr>
      <t xml:space="preserve">Développement
logiciel-conception
</t>
    </r>
    <r>
      <rPr>
        <color indexed="2"/>
        <rFont val="Calibri"/>
        <sz val="14"/>
      </rPr>
      <t xml:space="preserve">CM
</t>
    </r>
    <r>
      <rPr>
        <color indexed="64"/>
        <rFont val="Calibri"/>
        <sz val="14"/>
      </rPr>
      <t xml:space="preserve">A. Derouiche</t>
    </r>
  </si>
  <si>
    <t xml:space="preserve">Crypto/codes 
TD
(G1: G2:)
Philippe
GS146</t>
  </si>
  <si>
    <t xml:space="preserve">Crypto/codes 
TD
(G1: G2:)
Philippe</t>
  </si>
  <si>
    <t xml:space="preserve">S7
16/11/26 au 20/11/26</t>
  </si>
  <si>
    <t xml:space="preserve"> C/C++ 
TD
(G2:Bassem) 
GS119</t>
  </si>
  <si>
    <r>
      <rPr>
        <color rgb="FF38761D"/>
        <rFont val="Calibri"/>
        <sz val="14"/>
      </rPr>
      <t xml:space="preserve">MI0A503T
Statistique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F. Ferraty
</t>
    </r>
    <r>
      <rPr>
        <b/>
        <color indexed="2"/>
        <rFont val="Calibri"/>
        <sz val="14"/>
      </rPr>
      <t xml:space="preserve">Amphi ODG1</t>
    </r>
  </si>
  <si>
    <r>
      <rPr>
        <color rgb="FF38761D"/>
        <rFont val="Calibri"/>
        <sz val="14"/>
      </rPr>
      <t xml:space="preserve">MISH504T
SHS-Sociologie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P. Dufour
</t>
    </r>
    <r>
      <rPr>
        <color indexed="2"/>
        <rFont val="Calibri"/>
        <sz val="14"/>
      </rPr>
      <t>GS134</t>
    </r>
    <r>
      <rPr>
        <color rgb="FF38761D"/>
        <rFont val="Calibri"/>
        <sz val="14"/>
      </rPr>
      <t xml:space="preserve"> </t>
    </r>
  </si>
  <si>
    <r>
      <rPr>
        <color indexed="63"/>
        <rFont val="Calibri"/>
        <sz val="14"/>
      </rPr>
      <t xml:space="preserve">Développement
logiciel-conception
</t>
    </r>
    <r>
      <rPr>
        <color indexed="2"/>
        <rFont val="Calibri"/>
        <sz val="14"/>
      </rPr>
      <t xml:space="preserve">CM - A. Derouiche
GS146</t>
    </r>
  </si>
  <si>
    <r>
      <rPr>
        <color indexed="63"/>
        <rFont val="DejaVu Sans"/>
        <sz val="15"/>
      </rPr>
      <t xml:space="preserve">Crypto/codes
</t>
    </r>
    <r>
      <rPr>
        <color indexed="2"/>
        <rFont val="DejaVu Sans"/>
        <sz val="15"/>
      </rPr>
      <t xml:space="preserve">CM
</t>
    </r>
    <r>
      <rPr>
        <color indexed="64"/>
        <rFont val="DejaVu Sans"/>
        <sz val="15"/>
      </rPr>
      <t>Philippe</t>
    </r>
  </si>
  <si>
    <t xml:space="preserve"> C/C++ 
TD
(G1: Mathieu)</t>
  </si>
  <si>
    <t xml:space="preserve">Développement
logiciel-conception 
TD
G1: sophie GS 146</t>
  </si>
  <si>
    <t xml:space="preserve">Développement
logiciel-conception 
TD
(G1: sophie</t>
  </si>
  <si>
    <t xml:space="preserve">Développement
logiciel-conception 
TD
(G2: )</t>
  </si>
  <si>
    <t xml:space="preserve">S8
23/11/26 au 27/11/26</t>
  </si>
  <si>
    <r>
      <rPr>
        <b/>
        <color indexed="63"/>
        <rFont val="Calibri"/>
        <sz val="14"/>
      </rPr>
      <t xml:space="preserve">Développement
logiciel-vérification
</t>
    </r>
    <r>
      <rPr>
        <b/>
        <color indexed="2"/>
        <rFont val="Calibri"/>
        <sz val="14"/>
      </rPr>
      <t xml:space="preserve">CM
</t>
    </r>
    <r>
      <rPr>
        <b/>
        <color indexed="63"/>
        <rFont val="Calibri"/>
        <sz val="14"/>
      </rPr>
      <t xml:space="preserve">Brahim Hamid</t>
    </r>
  </si>
  <si>
    <r>
      <rPr>
        <color rgb="FF38761D"/>
        <rFont val="Calibri"/>
        <sz val="14"/>
      </rPr>
      <t xml:space="preserve">MI0A503T
Statistique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X. Mai
</t>
    </r>
    <r>
      <rPr>
        <b/>
        <color indexed="2"/>
        <rFont val="Calibri"/>
        <sz val="14"/>
      </rPr>
      <t xml:space="preserve">Amphi ODG1</t>
    </r>
  </si>
  <si>
    <r>
      <rPr>
        <color indexed="63"/>
        <rFont val="DejaVu Sans"/>
        <sz val="15"/>
      </rPr>
      <t xml:space="preserve"> C/C++
</t>
    </r>
    <r>
      <rPr>
        <color indexed="2"/>
        <rFont val="DejaVu Sans"/>
        <sz val="15"/>
      </rPr>
      <t xml:space="preserve">CM
Mathieu</t>
    </r>
  </si>
  <si>
    <r>
      <rPr>
        <color indexed="63"/>
        <rFont val="Calibri"/>
        <sz val="14"/>
      </rPr>
      <t xml:space="preserve">Développement
logiciel-conception
</t>
    </r>
    <r>
      <rPr>
        <color indexed="2"/>
        <rFont val="Calibri"/>
        <sz val="14"/>
      </rPr>
      <t xml:space="preserve">CM
</t>
    </r>
    <r>
      <rPr>
        <color indexed="64"/>
        <rFont val="Calibri"/>
        <sz val="14"/>
      </rPr>
      <t xml:space="preserve">A. Derouiche
GS119</t>
    </r>
  </si>
  <si>
    <t xml:space="preserve">S9
30/12/26 au 04/12/26</t>
  </si>
  <si>
    <r>
      <rPr>
        <color rgb="FF38761D"/>
        <rFont val="Calibri"/>
        <sz val="14"/>
      </rPr>
      <t xml:space="preserve">MISH504T
SHS -SdL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 M. Ho Dac                                               
</t>
    </r>
    <r>
      <rPr>
        <b/>
        <color indexed="2"/>
        <rFont val="Calibri"/>
        <sz val="14"/>
      </rPr>
      <t>GS134</t>
    </r>
    <r>
      <rPr>
        <color indexed="2"/>
        <rFont val="Calibri"/>
        <sz val="14"/>
      </rPr>
      <t xml:space="preserve"> </t>
    </r>
  </si>
  <si>
    <t xml:space="preserve">POO en Python
TD 
(G1: Brahim)</t>
  </si>
  <si>
    <t xml:space="preserve">POO en Python
TD 
(G2: Elisa)</t>
  </si>
  <si>
    <t xml:space="preserve">S10
07/12/26 au 11/12/26</t>
  </si>
  <si>
    <r>
      <rPr>
        <color rgb="FF38761D"/>
        <rFont val="Calibri"/>
        <sz val="14"/>
      </rPr>
      <t xml:space="preserve">MISH504T
SHS-Sociologie
</t>
    </r>
    <r>
      <rPr>
        <color indexed="2"/>
        <rFont val="Calibri"/>
        <sz val="14"/>
      </rPr>
      <t xml:space="preserve">CM
</t>
    </r>
    <r>
      <rPr>
        <color rgb="FF38761D"/>
        <rFont val="Calibri"/>
        <sz val="14"/>
      </rPr>
      <t xml:space="preserve">P. Dufour
</t>
    </r>
    <r>
      <rPr>
        <color indexed="2"/>
        <rFont val="Calibri"/>
        <sz val="14"/>
      </rPr>
      <t xml:space="preserve">GS134 </t>
    </r>
  </si>
  <si>
    <t xml:space="preserve">Développement
logiciel-conception 
Projet 2
(G1: sophie) GS146</t>
  </si>
  <si>
    <t xml:space="preserve">Développement
logiciel-conception 
Projet 2
G2: Derouiche GS119</t>
  </si>
  <si>
    <r>
      <rPr>
        <color rgb="FF38761D"/>
        <rFont val="Calibri"/>
        <sz val="14"/>
      </rPr>
      <t xml:space="preserve">MI0A503T 
Statistique
G1-G2-G3
FF/LF/XM
</t>
    </r>
    <r>
      <rPr>
        <b/>
        <color rgb="FF38761D"/>
        <rFont val="Calibri"/>
        <sz val="14"/>
      </rPr>
      <t>GS145</t>
    </r>
    <r>
      <rPr>
        <color rgb="FF38761D"/>
        <rFont val="Calibri"/>
        <sz val="14"/>
      </rPr>
      <t xml:space="preserve">/GS146/GS037
</t>
    </r>
    <r>
      <rPr>
        <b/>
        <color indexed="2"/>
        <rFont val="Calibri"/>
        <sz val="14"/>
      </rPr>
      <t xml:space="preserve">C. Continu (16h25-18h25)</t>
    </r>
  </si>
  <si>
    <r>
      <rPr>
        <color indexed="63"/>
        <rFont val="Calibri"/>
        <sz val="14"/>
      </rPr>
      <t xml:space="preserve">Développement
logiciel-vérification
</t>
    </r>
    <r>
      <rPr>
        <color indexed="2"/>
        <rFont val="Calibri"/>
        <sz val="14"/>
      </rPr>
      <t xml:space="preserve">CM - Examen
</t>
    </r>
    <r>
      <rPr>
        <color indexed="63"/>
        <rFont val="Calibri"/>
        <sz val="14"/>
      </rPr>
      <t xml:space="preserve">Brahim Hamid
GS146</t>
    </r>
  </si>
  <si>
    <r>
      <rPr>
        <color indexed="63"/>
        <rFont val="Calibri"/>
        <sz val="14"/>
      </rPr>
      <t xml:space="preserve">Développement
logiciel-conception 
</t>
    </r>
    <r>
      <rPr>
        <color indexed="2"/>
        <rFont val="Calibri"/>
        <sz val="14"/>
      </rPr>
      <t xml:space="preserve">Examen 
CM</t>
    </r>
  </si>
  <si>
    <t>G1</t>
  </si>
  <si>
    <t>GS146</t>
  </si>
  <si>
    <t>G2</t>
  </si>
  <si>
    <t xml:space="preserve">GS 119</t>
  </si>
  <si>
    <t>Crypto/codes</t>
  </si>
  <si>
    <t xml:space="preserve">Développement
logiciel-vérification</t>
  </si>
  <si>
    <t xml:space="preserve">POO en Python</t>
  </si>
  <si>
    <t xml:space="preserve">Développement
logiciel-conception</t>
  </si>
  <si>
    <t xml:space="preserve"> C/C++</t>
  </si>
  <si>
    <t>Anglais</t>
  </si>
  <si>
    <t>Prog.Fonct</t>
  </si>
  <si>
    <t>CM</t>
  </si>
  <si>
    <t>TD</t>
  </si>
  <si>
    <t xml:space="preserve">"A rajouter les hures GIT pour avoir 32"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</si>
</sst>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0" formatCode="dd/mm/yyyy"/>
    <numFmt numFmtId="161" formatCode="dd/mm"/>
  </numFmts>
  <fonts count="30">
    <font>
      <name val="Calibri"/>
      <color indexed="63"/>
      <sz val="10"/>
      <scheme val="minor"/>
    </font>
    <font>
      <name val="Arial"/>
      <sz val="10"/>
    </font>
    <font>
      <name val="Arial"/>
      <color indexed="64"/>
      <sz val="10"/>
    </font>
    <font>
      <name val="Calibri"/>
      <b/>
      <color indexed="63"/>
      <sz val="36"/>
    </font>
    <font>
      <name val="Calibri"/>
      <color indexed="63"/>
      <sz val="11"/>
    </font>
    <font>
      <name val="Calibri"/>
      <color indexed="63"/>
      <sz val="18"/>
    </font>
    <font>
      <name val="Calibri"/>
      <b/>
      <color indexed="63"/>
      <sz val="24"/>
    </font>
    <font>
      <name val="Arial"/>
      <b/>
      <color indexed="64"/>
      <sz val="24"/>
    </font>
    <font>
      <name val="Calibri"/>
      <b/>
      <color indexed="63"/>
      <sz val="12"/>
    </font>
    <font>
      <name val="Arial"/>
      <b/>
      <color indexed="64"/>
      <sz val="12"/>
    </font>
    <font>
      <name val="Calibri"/>
      <b/>
      <color rgb="FFC9211E"/>
      <sz val="14"/>
    </font>
    <font>
      <name val="Calibri"/>
      <b/>
      <color indexed="63"/>
      <sz val="16"/>
    </font>
    <font>
      <name val="Cambria"/>
      <sz val="16"/>
    </font>
    <font>
      <name val="Calibri"/>
      <color indexed="63"/>
      <sz val="14"/>
    </font>
    <font>
      <name val="Cambria"/>
      <sz val="14"/>
    </font>
    <font>
      <name val="DejaVu Sans"/>
      <color indexed="63"/>
      <sz val="15"/>
    </font>
    <font>
      <name val="Calibri"/>
      <b/>
      <color indexed="64"/>
      <sz val="11"/>
    </font>
    <font>
      <name val="Calibri"/>
      <b/>
      <color indexed="64"/>
      <sz val="14"/>
    </font>
    <font>
      <name val="Calibri"/>
      <color rgb="FF38761D"/>
      <sz val="14"/>
    </font>
    <font>
      <name val="Calibri"/>
      <sz val="14"/>
    </font>
    <font>
      <name val="Calibri"/>
      <color indexed="63"/>
      <sz val="16"/>
    </font>
    <font>
      <name val="Calibri"/>
      <color rgb="FF38761D"/>
      <sz val="12"/>
    </font>
    <font>
      <name val="Calibri"/>
      <b/>
      <color indexed="63"/>
      <sz val="14"/>
    </font>
    <font>
      <name val="Calibri"/>
      <color indexed="4"/>
      <sz val="14"/>
    </font>
    <font>
      <name val="Calibri"/>
      <b/>
      <color indexed="2"/>
      <sz val="20"/>
    </font>
    <font>
      <name val="Calibri"/>
      <b/>
      <color indexed="63"/>
      <sz val="10"/>
    </font>
    <font>
      <name val="DejaVu Sans"/>
      <b/>
      <color indexed="63"/>
      <sz val="15"/>
    </font>
    <font>
      <name val="Calibri"/>
      <color indexed="63"/>
      <sz val="22"/>
    </font>
    <font>
      <name val="Calibri"/>
      <b/>
      <color indexed="63"/>
      <sz val="40"/>
    </font>
    <font>
      <name val="Calibri"/>
      <b/>
      <i/>
      <color indexed="2"/>
      <sz val="10"/>
    </font>
  </fonts>
  <fills count="16">
    <fill>
      <patternFill patternType="none"/>
    </fill>
    <fill>
      <patternFill patternType="none"/>
    </fill>
    <fill>
      <patternFill patternType="solid">
        <fgColor rgb="FFEEECE1"/>
        <bgColor rgb="FFEEECE1"/>
      </patternFill>
    </fill>
    <fill>
      <patternFill patternType="solid">
        <fgColor rgb="FFE6B9B8"/>
        <bgColor rgb="FFE6B9B8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BEEF4"/>
        <bgColor rgb="FFDBEEF4"/>
      </patternFill>
    </fill>
    <fill>
      <patternFill patternType="solid">
        <fgColor indexed="65"/>
        <bgColor indexed="65"/>
      </patternFill>
    </fill>
    <fill>
      <patternFill patternType="solid">
        <fgColor rgb="FF9BBB59"/>
        <bgColor rgb="FF9BBB59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indexed="5"/>
        <bgColor indexed="5"/>
      </patternFill>
    </fill>
    <fill>
      <patternFill patternType="solid">
        <fgColor rgb="FF8EAADB"/>
        <bgColor rgb="FF8EAADB"/>
      </patternFill>
    </fill>
    <fill>
      <patternFill patternType="solid">
        <fgColor rgb="FFDCE6F2"/>
        <bgColor rgb="FFDCE6F2"/>
      </patternFill>
    </fill>
    <fill>
      <patternFill patternType="solid">
        <fgColor rgb="FF8064A2"/>
        <bgColor rgb="FF8064A2"/>
      </patternFill>
    </fill>
    <fill>
      <patternFill patternType="solid">
        <fgColor rgb="FFE46C0A"/>
        <bgColor rgb="FFE46C0A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 diagonalDown="1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>
      <left/>
      <right/>
      <top/>
      <bottom style="thin">
        <color theme="1"/>
      </bottom>
      <diagonal/>
    </border>
  </borders>
  <cellStyleXfs count="6">
    <xf fontId="0" fillId="0" borderId="0" numFmtId="0"/>
    <xf fontId="1" fillId="0" borderId="0" numFmtId="43" applyNumberFormat="1" applyFont="1"/>
    <xf fontId="1" fillId="0" borderId="0" numFmtId="41" applyNumberFormat="1" applyFont="1"/>
    <xf fontId="1" fillId="0" borderId="0" numFmtId="44" applyNumberFormat="1" applyFont="1"/>
    <xf fontId="1" fillId="0" borderId="0" numFmtId="42" applyNumberFormat="1" applyFont="1"/>
    <xf fontId="1" fillId="0" borderId="0" numFmtId="9" applyNumberFormat="1" applyFont="1"/>
  </cellStyleXfs>
  <cellXfs count="75">
    <xf fontId="0" fillId="0" borderId="0" numFmtId="0" xfId="0"/>
    <xf fontId="2" fillId="0" borderId="0" numFmtId="0" xfId="0" applyFont="1"/>
    <xf fontId="2" fillId="0" borderId="0" numFmtId="160" xfId="0" applyNumberFormat="1" applyFont="1"/>
    <xf fontId="2" fillId="0" borderId="0" numFmtId="161" xfId="0" applyNumberFormat="1" applyFont="1"/>
    <xf fontId="3" fillId="0" borderId="1" numFmtId="0" xfId="0" applyFont="1" applyBorder="1" applyAlignment="1">
      <alignment horizontal="center" vertical="center"/>
    </xf>
    <xf fontId="4" fillId="0" borderId="0" numFmtId="0" xfId="0" applyFont="1"/>
    <xf fontId="5" fillId="0" borderId="2" numFmtId="0" xfId="0" applyFont="1" applyBorder="1" applyAlignment="1">
      <alignment horizontal="center" vertical="center"/>
    </xf>
    <xf fontId="6" fillId="0" borderId="2" numFmtId="0" xfId="0" applyFont="1" applyBorder="1" applyAlignment="1">
      <alignment horizontal="center" vertical="center"/>
    </xf>
    <xf fontId="6" fillId="0" borderId="3" numFmtId="0" xfId="0" applyFont="1" applyBorder="1" applyAlignment="1">
      <alignment horizontal="center" vertical="center" wrapText="1"/>
    </xf>
    <xf fontId="6" fillId="0" borderId="0" numFmtId="0" xfId="0" applyFont="1" applyAlignment="1">
      <alignment horizontal="center" vertical="center"/>
    </xf>
    <xf fontId="7" fillId="0" borderId="0" numFmtId="0" xfId="0" applyFont="1" applyAlignment="1">
      <alignment horizontal="center" vertical="center"/>
    </xf>
    <xf fontId="8" fillId="0" borderId="2" numFmtId="0" xfId="0" applyFont="1" applyBorder="1" applyAlignment="1">
      <alignment horizontal="center" vertical="center"/>
    </xf>
    <xf fontId="8" fillId="0" borderId="3" numFmtId="0" xfId="0" applyFont="1" applyBorder="1" applyAlignment="1">
      <alignment horizontal="center" vertical="center" wrapText="1"/>
    </xf>
    <xf fontId="8" fillId="0" borderId="4" numFmtId="0" xfId="0" applyFont="1" applyBorder="1" applyAlignment="1">
      <alignment horizontal="center" vertical="center"/>
    </xf>
    <xf fontId="8" fillId="0" borderId="3" numFmtId="0" xfId="0" applyFont="1" applyBorder="1" applyAlignment="1">
      <alignment horizontal="center" vertical="center"/>
    </xf>
    <xf fontId="8" fillId="0" borderId="2" numFmtId="0" xfId="0" applyFont="1" applyBorder="1" applyAlignment="1">
      <alignment horizontal="center" vertical="center" wrapText="1"/>
    </xf>
    <xf fontId="8" fillId="0" borderId="0" numFmtId="0" xfId="0" applyFont="1" applyAlignment="1">
      <alignment horizontal="center" vertical="center"/>
    </xf>
    <xf fontId="9" fillId="0" borderId="0" numFmtId="0" xfId="0" applyFont="1" applyAlignment="1">
      <alignment horizontal="center" vertical="center"/>
    </xf>
    <xf fontId="10" fillId="0" borderId="2" numFmtId="0" xfId="0" applyFont="1" applyBorder="1" applyAlignment="1">
      <alignment horizontal="center" vertical="center" wrapText="1"/>
    </xf>
    <xf fontId="11" fillId="2" borderId="2" numFmtId="0" xfId="0" applyFont="1" applyFill="1" applyBorder="1" applyAlignment="1">
      <alignment horizontal="center" vertical="center" wrapText="1"/>
    </xf>
    <xf fontId="12" fillId="3" borderId="2" numFmtId="0" xfId="0" applyFont="1" applyFill="1" applyBorder="1" applyAlignment="1">
      <alignment horizontal="center" vertical="center" wrapText="1"/>
    </xf>
    <xf fontId="13" fillId="4" borderId="2" numFmtId="0" xfId="0" applyFont="1" applyFill="1" applyBorder="1" applyAlignment="1">
      <alignment horizontal="center" vertical="center" wrapText="1"/>
    </xf>
    <xf fontId="13" fillId="0" borderId="2" numFmtId="0" xfId="0" applyFont="1" applyBorder="1" applyAlignment="1">
      <alignment horizontal="center" vertical="center" wrapText="1"/>
    </xf>
    <xf fontId="12" fillId="0" borderId="2" numFmtId="0" xfId="0" applyFont="1" applyBorder="1" applyAlignment="1">
      <alignment horizontal="center" vertical="center" wrapText="1"/>
    </xf>
    <xf fontId="14" fillId="3" borderId="2" numFmtId="0" xfId="0" applyFont="1" applyFill="1" applyBorder="1" applyAlignment="1">
      <alignment horizontal="center" vertical="center" wrapText="1"/>
    </xf>
    <xf fontId="15" fillId="5" borderId="5" numFmtId="0" xfId="0" applyFont="1" applyFill="1" applyBorder="1" applyAlignment="1">
      <alignment horizontal="center" vertical="center" wrapText="1"/>
    </xf>
    <xf fontId="0" fillId="5" borderId="3" numFmtId="0" xfId="0" applyFill="1" applyBorder="1" applyAlignment="1">
      <alignment horizontal="center" vertical="center" wrapText="1"/>
    </xf>
    <xf fontId="0" fillId="0" borderId="2" numFmtId="0" xfId="0" applyBorder="1"/>
    <xf fontId="13" fillId="6" borderId="2" numFmtId="0" xfId="0" applyFont="1" applyFill="1" applyBorder="1" applyAlignment="1">
      <alignment horizontal="center" vertical="center" wrapText="1"/>
    </xf>
    <xf fontId="0" fillId="0" borderId="0" numFmtId="0" xfId="0" applyAlignment="1">
      <alignment wrapText="1"/>
    </xf>
    <xf fontId="14" fillId="0" borderId="2" numFmtId="0" xfId="0" applyFont="1" applyBorder="1" applyAlignment="1">
      <alignment horizontal="center" vertical="center" wrapText="1"/>
    </xf>
    <xf fontId="16" fillId="7" borderId="0" numFmtId="0" xfId="0" applyFont="1" applyFill="1" applyAlignment="1">
      <alignment horizontal="center"/>
    </xf>
    <xf fontId="17" fillId="7" borderId="0" numFmtId="0" xfId="0" applyFont="1" applyFill="1" applyAlignment="1">
      <alignment horizontal="center" vertical="center"/>
    </xf>
    <xf fontId="13" fillId="8" borderId="2" numFmtId="0" xfId="0" applyFont="1" applyFill="1" applyBorder="1" applyAlignment="1">
      <alignment horizontal="center" vertical="center" wrapText="1"/>
    </xf>
    <xf fontId="18" fillId="9" borderId="2" numFmtId="0" xfId="0" applyFont="1" applyFill="1" applyBorder="1" applyAlignment="1">
      <alignment horizontal="center" vertical="center" wrapText="1"/>
    </xf>
    <xf fontId="18" fillId="10" borderId="2" numFmtId="0" xfId="0" applyFont="1" applyFill="1" applyBorder="1" applyAlignment="1">
      <alignment horizontal="center" vertical="center" wrapText="1"/>
    </xf>
    <xf fontId="15" fillId="5" borderId="2" numFmtId="0" xfId="0" applyFont="1" applyFill="1" applyBorder="1" applyAlignment="1">
      <alignment horizontal="center" vertical="center" wrapText="1"/>
    </xf>
    <xf fontId="12" fillId="7" borderId="2" numFmtId="0" xfId="0" applyFont="1" applyFill="1" applyBorder="1" applyAlignment="1">
      <alignment horizontal="center" vertical="center" wrapText="1"/>
    </xf>
    <xf fontId="19" fillId="7" borderId="2" numFmtId="0" xfId="0" applyFont="1" applyFill="1" applyBorder="1" applyAlignment="1">
      <alignment horizontal="center" vertical="center" wrapText="1"/>
    </xf>
    <xf fontId="18" fillId="0" borderId="2" numFmtId="0" xfId="0" applyFont="1" applyBorder="1" applyAlignment="1">
      <alignment horizontal="center" vertical="center" wrapText="1"/>
    </xf>
    <xf fontId="19" fillId="8" borderId="2" numFmtId="0" xfId="0" applyFont="1" applyFill="1" applyBorder="1" applyAlignment="1">
      <alignment horizontal="center" vertical="center" wrapText="1"/>
    </xf>
    <xf fontId="19" fillId="11" borderId="2" numFmtId="0" xfId="0" applyFont="1" applyFill="1" applyBorder="1" applyAlignment="1">
      <alignment horizontal="center" vertical="center" wrapText="1"/>
    </xf>
    <xf fontId="15" fillId="3" borderId="2" numFmtId="0" xfId="0" applyFont="1" applyFill="1" applyBorder="1" applyAlignment="1">
      <alignment horizontal="center" vertical="center" wrapText="1"/>
    </xf>
    <xf fontId="0" fillId="0" borderId="2" numFmtId="0" xfId="0" applyBorder="1" applyAlignment="1">
      <alignment wrapText="1"/>
    </xf>
    <xf fontId="5" fillId="12" borderId="2" numFmtId="0" xfId="0" applyFont="1" applyFill="1" applyBorder="1" applyAlignment="1">
      <alignment horizontal="center" vertical="center" wrapText="1"/>
    </xf>
    <xf fontId="20" fillId="7" borderId="0" numFmtId="0" xfId="0" applyFont="1" applyFill="1" applyAlignment="1">
      <alignment vertical="center" wrapText="1"/>
    </xf>
    <xf fontId="18" fillId="13" borderId="2" numFmtId="0" xfId="0" applyFont="1" applyFill="1" applyBorder="1" applyAlignment="1">
      <alignment horizontal="center" vertical="center" wrapText="1"/>
    </xf>
    <xf fontId="21" fillId="13" borderId="2" numFmtId="0" xfId="0" applyFont="1" applyFill="1" applyBorder="1" applyAlignment="1">
      <alignment horizontal="center" vertical="center" wrapText="1"/>
    </xf>
    <xf fontId="13" fillId="14" borderId="6" numFmtId="0" xfId="0" applyFont="1" applyFill="1" applyBorder="1" applyAlignment="1">
      <alignment horizontal="center" vertical="center" wrapText="1"/>
    </xf>
    <xf fontId="15" fillId="15" borderId="2" numFmtId="0" xfId="0" applyFont="1" applyFill="1" applyBorder="1" applyAlignment="1">
      <alignment horizontal="center" vertical="center" wrapText="1"/>
    </xf>
    <xf fontId="15" fillId="7" borderId="2" numFmtId="0" xfId="0" applyFont="1" applyFill="1" applyBorder="1" applyAlignment="1">
      <alignment horizontal="center" vertical="center" wrapText="1"/>
    </xf>
    <xf fontId="0" fillId="0" borderId="7" numFmtId="0" xfId="0" applyBorder="1"/>
    <xf fontId="22" fillId="8" borderId="2" numFmtId="0" xfId="0" applyFont="1" applyFill="1" applyBorder="1" applyAlignment="1">
      <alignment horizontal="center" vertical="center" wrapText="1"/>
    </xf>
    <xf fontId="23" fillId="8" borderId="2" numFmtId="0" xfId="0" applyFont="1" applyFill="1" applyBorder="1" applyAlignment="1">
      <alignment horizontal="center" vertical="center" wrapText="1"/>
    </xf>
    <xf fontId="15" fillId="0" borderId="2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13" fillId="14" borderId="2" numFmtId="0" xfId="0" applyFont="1" applyFill="1" applyBorder="1" applyAlignment="1">
      <alignment horizontal="center" vertical="center" wrapText="1"/>
    </xf>
    <xf fontId="19" fillId="0" borderId="2" numFmtId="0" xfId="0" applyFont="1" applyBorder="1" applyAlignment="1">
      <alignment horizontal="center" vertical="center" wrapText="1"/>
    </xf>
    <xf fontId="0" fillId="0" borderId="2" numFmtId="0" xfId="0" applyBorder="1" applyAlignment="1">
      <alignment horizontal="center"/>
    </xf>
    <xf fontId="24" fillId="11" borderId="2" numFmtId="0" xfId="0" applyFont="1" applyFill="1" applyBorder="1" applyAlignment="1">
      <alignment horizontal="center" vertical="center"/>
    </xf>
    <xf fontId="24" fillId="0" borderId="0" numFmtId="0" xfId="0" applyFont="1" applyAlignment="1">
      <alignment horizontal="center" vertical="center"/>
    </xf>
    <xf fontId="13" fillId="0" borderId="0" numFmtId="0" xfId="0" applyFont="1" applyAlignment="1">
      <alignment horizontal="center" vertical="center" wrapText="1"/>
    </xf>
    <xf fontId="25" fillId="0" borderId="0" numFmtId="0" xfId="0" applyFont="1"/>
    <xf fontId="26" fillId="3" borderId="2" numFmtId="0" xfId="0" applyFont="1" applyFill="1" applyBorder="1" applyAlignment="1">
      <alignment horizontal="center" vertical="center" wrapText="1"/>
    </xf>
    <xf fontId="27" fillId="4" borderId="2" numFmtId="0" xfId="0" applyFont="1" applyFill="1" applyBorder="1" applyAlignment="1">
      <alignment horizontal="center" vertical="center" wrapText="1"/>
    </xf>
    <xf fontId="15" fillId="5" borderId="0" numFmtId="0" xfId="0" applyFont="1" applyFill="1" applyAlignment="1">
      <alignment horizontal="center" vertical="center" wrapText="1"/>
    </xf>
    <xf fontId="26" fillId="0" borderId="0" numFmtId="0" xfId="0" applyFont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28" fillId="0" borderId="2" numFmtId="0" xfId="0" applyFont="1" applyBorder="1"/>
    <xf fontId="28" fillId="11" borderId="2" numFmtId="0" xfId="0" applyFont="1" applyFill="1" applyBorder="1"/>
    <xf fontId="28" fillId="0" borderId="0" numFmtId="0" xfId="0" applyFont="1"/>
    <xf fontId="28" fillId="0" borderId="2" numFmtId="0" xfId="0" applyFont="1" applyBorder="1" applyAlignment="1">
      <alignment horizontal="center" vertical="center" wrapText="1"/>
    </xf>
    <xf fontId="28" fillId="0" borderId="2" numFmtId="0" xfId="0" applyFont="1" applyBorder="1" applyAlignment="1">
      <alignment horizontal="right" vertical="center"/>
    </xf>
    <xf fontId="28" fillId="11" borderId="2" numFmtId="0" xfId="0" applyFont="1" applyFill="1" applyBorder="1" applyAlignment="1">
      <alignment horizontal="right" vertical="center"/>
    </xf>
    <xf fontId="29" fillId="0" borderId="0" numFmtId="0" xfId="0" applyFont="1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>
          <a:schemeClr val="accent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accent1"/>
        </a:solidFill>
        <a:solidFill/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enquetes.univ-tlse2.fr/index.php/511689?newtest=Y&amp;lang=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GridLines="1" showRowColHeaders="1" workbookViewId="0" zoomScale="60">
      <selection activeCell="A1" activeCellId="0" sqref="A1"/>
    </sheetView>
  </sheetViews>
  <sheetFormatPr defaultColWidth="12.5546875" defaultRowHeight="13.800000000000001"/>
  <sheetData>
    <row ht="13.800000000000001" r="1">
      <c r="A1" s="1" t="s">
        <v>0</v>
      </c>
      <c r="B1" s="2">
        <v>45338</v>
      </c>
    </row>
    <row ht="13.800000000000001" r="2">
      <c r="A2" s="1" t="s">
        <v>1</v>
      </c>
      <c r="B2" s="3">
        <v>45021</v>
      </c>
    </row>
    <row ht="13.800000000000001" r="6">
      <c r="A6" s="1" t="s">
        <v>2</v>
      </c>
    </row>
  </sheetData>
  <printOptions headings="0" gridLines="1" gridLinesSet="1"/>
  <pageMargins left="0.70069444444444395" right="0.70069444444444395" top="0.75208333333333299" bottom="0.75208333333333299" header="0.5" footer="0.5"/>
  <pageSetup paperSize="9" orientation="portrait"/>
  <headerFooter differentFirst="0" differentOddEven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GridLines="1" showRowColHeaders="1" workbookViewId="0" zoomScale="60">
      <pane state="frozen" topLeftCell="A4" ySplit="3"/>
      <selection activeCell="J13" activeCellId="0" sqref="J13"/>
    </sheetView>
  </sheetViews>
  <sheetFormatPr defaultColWidth="12.5546875" defaultRowHeight="13.5"/>
  <cols>
    <col customWidth="1" min="1" max="1" style="0" width="15.710000000000001"/>
    <col customWidth="1" min="2" max="2" style="0" width="17.129999999999999"/>
    <col customWidth="1" min="3" max="3" style="0" width="17.420000000000002"/>
    <col customWidth="1" min="4" max="4" style="0" width="21.129999999999999"/>
    <col customWidth="1" min="5" max="5" style="0" width="23.43"/>
    <col customWidth="1" min="6" max="6" style="0" width="21.710000000000001"/>
    <col customWidth="1" min="7" max="7" style="0" width="23.289999999999999"/>
    <col customWidth="1" min="8" max="8" style="0" width="24.43"/>
    <col customWidth="1" min="9" max="9" style="0" width="19.710000000000001"/>
    <col customWidth="1" min="10" max="10" style="0" width="19.43"/>
    <col customWidth="1" min="11" max="11" style="0" width="18.289999999999999"/>
    <col customWidth="1" min="12" max="12" style="0" width="18.57"/>
    <col customWidth="1" min="13" max="14" style="0" width="18.710000000000001"/>
    <col customWidth="1" min="15" max="15" style="0" width="18.57"/>
    <col customWidth="1" min="16" max="16" style="0" width="19.129999999999999"/>
    <col customWidth="1" min="17" max="17" style="0" width="17.57"/>
    <col customWidth="1" min="18" max="18" style="0" width="19"/>
    <col customWidth="1" min="19" max="20" style="0" width="20.550000000000001"/>
    <col customWidth="1" min="21" max="23" style="0" width="20.289999999999999"/>
    <col customWidth="1" min="24" max="24" style="0" width="20"/>
    <col customWidth="1" min="25" max="25" style="0" width="19.57"/>
    <col customWidth="1" min="26" max="26" style="0" width="19.850000000000001"/>
    <col customWidth="1" min="27" max="28" style="0" width="20.710000000000001"/>
    <col customWidth="1" min="29" max="29" style="0" width="22.289999999999999"/>
    <col customWidth="1" min="30" max="30" style="0" width="21.43"/>
    <col customWidth="1" min="31" max="31" style="0" width="21.129999999999999"/>
    <col customWidth="1" min="32" max="32" style="0" width="21.43"/>
    <col customWidth="1" min="33" max="33" style="0" width="19.440000000000001"/>
    <col customWidth="1" min="34" max="34" style="0" width="22.43"/>
    <col customWidth="1" min="35" max="35" style="0" width="23.579999999999998"/>
    <col customWidth="1" min="36" max="36" style="0" width="21.129999999999999"/>
    <col customWidth="1" min="37" max="37" style="0" width="21.43"/>
    <col customWidth="1" min="38" max="38" style="0" width="20.850000000000001"/>
    <col customWidth="1" min="39" max="39" style="0" width="21.710000000000001"/>
    <col customWidth="1" min="40" max="40" style="0" width="23.109999999999999"/>
    <col customWidth="1" min="41" max="41" style="0" width="24.760000000000002"/>
    <col customWidth="1" min="42" max="42" style="0" width="30.829999999999998"/>
    <col customWidth="1" min="43" max="44" style="0" width="11.44"/>
    <col customWidth="1" min="45" max="48" style="0" width="8.5500000000000007"/>
  </cols>
  <sheetData>
    <row ht="90" customHeight="1" r="1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ht="30.75" customHeight="1" r="2">
      <c r="A2" s="6"/>
      <c r="B2" s="7" t="s">
        <v>4</v>
      </c>
      <c r="C2" s="7"/>
      <c r="D2" s="7"/>
      <c r="E2" s="7"/>
      <c r="F2" s="7"/>
      <c r="G2" s="7"/>
      <c r="H2" s="7"/>
      <c r="I2" s="7"/>
      <c r="J2" s="8" t="s">
        <v>5</v>
      </c>
      <c r="K2" s="8"/>
      <c r="L2" s="8"/>
      <c r="M2" s="8"/>
      <c r="N2" s="8"/>
      <c r="O2" s="8"/>
      <c r="P2" s="8"/>
      <c r="Q2" s="8"/>
      <c r="R2" s="7" t="s">
        <v>6</v>
      </c>
      <c r="S2" s="7"/>
      <c r="T2" s="7"/>
      <c r="U2" s="7"/>
      <c r="V2" s="7"/>
      <c r="W2" s="7"/>
      <c r="X2" s="7"/>
      <c r="Y2" s="7"/>
      <c r="Z2" s="8" t="s">
        <v>7</v>
      </c>
      <c r="AA2" s="8"/>
      <c r="AB2" s="8"/>
      <c r="AC2" s="8"/>
      <c r="AD2" s="8"/>
      <c r="AE2" s="8"/>
      <c r="AF2" s="8"/>
      <c r="AG2" s="8"/>
      <c r="AH2" s="7" t="s">
        <v>8</v>
      </c>
      <c r="AI2" s="7"/>
      <c r="AJ2" s="7"/>
      <c r="AK2" s="7"/>
      <c r="AL2" s="7"/>
      <c r="AM2" s="7"/>
      <c r="AN2" s="7"/>
      <c r="AO2" s="7"/>
      <c r="AP2" s="9"/>
      <c r="AQ2" s="10"/>
      <c r="AR2" s="10"/>
      <c r="AS2" s="10"/>
      <c r="AT2" s="10"/>
    </row>
    <row ht="35.850000000000001" customHeight="1" r="3">
      <c r="A3" s="6"/>
      <c r="B3" s="11" t="s">
        <v>9</v>
      </c>
      <c r="C3" s="11"/>
      <c r="D3" s="12" t="s">
        <v>10</v>
      </c>
      <c r="E3" s="12"/>
      <c r="F3" s="12" t="s">
        <v>11</v>
      </c>
      <c r="G3" s="12"/>
      <c r="H3" s="12" t="s">
        <v>12</v>
      </c>
      <c r="I3" s="12"/>
      <c r="J3" s="13" t="s">
        <v>9</v>
      </c>
      <c r="K3" s="13"/>
      <c r="L3" s="12" t="s">
        <v>10</v>
      </c>
      <c r="M3" s="12"/>
      <c r="N3" s="12" t="s">
        <v>11</v>
      </c>
      <c r="O3" s="12"/>
      <c r="P3" s="11" t="s">
        <v>12</v>
      </c>
      <c r="Q3" s="11"/>
      <c r="R3" s="14" t="s">
        <v>9</v>
      </c>
      <c r="S3" s="14"/>
      <c r="T3" s="12" t="s">
        <v>10</v>
      </c>
      <c r="U3" s="12"/>
      <c r="V3" s="12" t="s">
        <v>11</v>
      </c>
      <c r="W3" s="12"/>
      <c r="X3" s="14" t="s">
        <v>12</v>
      </c>
      <c r="Y3" s="14"/>
      <c r="Z3" s="14" t="s">
        <v>9</v>
      </c>
      <c r="AA3" s="14"/>
      <c r="AB3" s="12" t="s">
        <v>10</v>
      </c>
      <c r="AC3" s="12"/>
      <c r="AD3" s="12" t="s">
        <v>11</v>
      </c>
      <c r="AE3" s="12"/>
      <c r="AF3" s="14" t="s">
        <v>12</v>
      </c>
      <c r="AG3" s="14"/>
      <c r="AH3" s="11" t="s">
        <v>9</v>
      </c>
      <c r="AI3" s="11"/>
      <c r="AJ3" s="15" t="s">
        <v>13</v>
      </c>
      <c r="AK3" s="15"/>
      <c r="AL3" s="15" t="s">
        <v>11</v>
      </c>
      <c r="AM3" s="15"/>
      <c r="AN3" s="14" t="s">
        <v>12</v>
      </c>
      <c r="AO3" s="14"/>
      <c r="AP3" s="16"/>
      <c r="AQ3" s="17"/>
      <c r="AR3" s="17"/>
      <c r="AS3" s="17"/>
      <c r="AT3" s="17"/>
    </row>
    <row ht="105.90000000000001" customHeight="1" r="4">
      <c r="A4" s="18" t="s">
        <v>14</v>
      </c>
      <c r="B4" s="19" t="s">
        <v>15</v>
      </c>
      <c r="C4" s="19"/>
      <c r="D4" s="20" t="s">
        <v>16</v>
      </c>
      <c r="E4" s="20"/>
      <c r="F4" s="21" t="s">
        <v>17</v>
      </c>
      <c r="G4" s="21"/>
      <c r="H4" s="21" t="s">
        <v>17</v>
      </c>
      <c r="I4" s="21"/>
      <c r="J4" s="22"/>
      <c r="K4" s="23"/>
      <c r="L4" s="20" t="s">
        <v>16</v>
      </c>
      <c r="M4" s="20"/>
      <c r="N4" s="24" t="s">
        <v>18</v>
      </c>
      <c r="O4" s="24" t="s">
        <v>19</v>
      </c>
      <c r="P4" s="25" t="s">
        <v>20</v>
      </c>
      <c r="Q4" s="26"/>
      <c r="R4" s="27"/>
      <c r="S4" s="22"/>
      <c r="V4" s="22"/>
      <c r="X4" s="22"/>
      <c r="Y4" s="22"/>
      <c r="Z4" s="28" t="s">
        <v>21</v>
      </c>
      <c r="AA4" s="28"/>
      <c r="AB4" s="20" t="s">
        <v>16</v>
      </c>
      <c r="AC4" s="20"/>
      <c r="AD4" s="29"/>
      <c r="AF4" s="22"/>
      <c r="AG4" s="22"/>
      <c r="AN4" s="30"/>
      <c r="AO4" s="22"/>
      <c r="AP4" s="31"/>
      <c r="AQ4" s="32"/>
      <c r="AR4" s="32"/>
    </row>
    <row ht="105.90000000000001" customHeight="1" r="5">
      <c r="A5" s="18" t="s">
        <v>22</v>
      </c>
      <c r="B5" s="18"/>
      <c r="C5" s="27"/>
      <c r="D5" s="33" t="s">
        <v>23</v>
      </c>
      <c r="E5" s="33"/>
      <c r="F5" s="21" t="s">
        <v>17</v>
      </c>
      <c r="G5" s="21"/>
      <c r="H5" s="34" t="s">
        <v>24</v>
      </c>
      <c r="I5" s="34"/>
      <c r="J5" s="22"/>
      <c r="K5" s="23"/>
      <c r="L5" s="34" t="s">
        <v>25</v>
      </c>
      <c r="M5" s="34"/>
      <c r="N5" s="35" t="s">
        <v>26</v>
      </c>
      <c r="O5" s="35"/>
      <c r="Q5" s="24" t="s">
        <v>19</v>
      </c>
      <c r="R5" s="36" t="s">
        <v>27</v>
      </c>
      <c r="S5" s="36" t="s">
        <v>28</v>
      </c>
      <c r="T5" s="28" t="s">
        <v>29</v>
      </c>
      <c r="U5" s="28" t="s">
        <v>30</v>
      </c>
      <c r="V5" s="35" t="s">
        <v>31</v>
      </c>
      <c r="W5" s="35"/>
      <c r="X5" s="35"/>
      <c r="Y5" s="35"/>
      <c r="Z5" s="27"/>
      <c r="AA5" s="27"/>
      <c r="AB5" s="24" t="s">
        <v>18</v>
      </c>
      <c r="AD5" s="24" t="s">
        <v>18</v>
      </c>
      <c r="AE5" s="24" t="s">
        <v>19</v>
      </c>
      <c r="AF5" s="22"/>
      <c r="AG5" s="22"/>
      <c r="AH5" s="28" t="s">
        <v>32</v>
      </c>
      <c r="AI5" s="28" t="s">
        <v>33</v>
      </c>
      <c r="AJ5" s="20" t="s">
        <v>16</v>
      </c>
      <c r="AK5" s="20"/>
      <c r="AL5" s="37"/>
      <c r="AM5" s="37"/>
      <c r="AN5" s="38"/>
      <c r="AO5" s="27"/>
      <c r="AP5" s="5"/>
    </row>
    <row ht="105.90000000000001" customHeight="1" r="6">
      <c r="A6" s="18" t="s">
        <v>34</v>
      </c>
      <c r="B6" s="18"/>
      <c r="C6" s="27"/>
      <c r="D6" s="33" t="s">
        <v>23</v>
      </c>
      <c r="E6" s="33"/>
      <c r="F6" s="21" t="s">
        <v>17</v>
      </c>
      <c r="G6" s="21"/>
      <c r="H6" s="34" t="s">
        <v>24</v>
      </c>
      <c r="I6" s="34"/>
      <c r="J6" s="22"/>
      <c r="K6" s="23"/>
      <c r="L6" s="34" t="s">
        <v>35</v>
      </c>
      <c r="M6" s="34"/>
      <c r="N6" s="35" t="s">
        <v>26</v>
      </c>
      <c r="O6" s="35"/>
      <c r="P6" s="39"/>
      <c r="Q6" s="27"/>
      <c r="R6" s="36" t="s">
        <v>27</v>
      </c>
      <c r="S6" s="36" t="s">
        <v>28</v>
      </c>
      <c r="T6" s="28" t="s">
        <v>29</v>
      </c>
      <c r="U6" s="28" t="s">
        <v>30</v>
      </c>
      <c r="V6" s="35" t="s">
        <v>31</v>
      </c>
      <c r="W6" s="35"/>
      <c r="X6" s="35"/>
      <c r="Y6" s="35"/>
      <c r="Z6" s="22"/>
      <c r="AA6" s="22"/>
      <c r="AB6" s="28" t="s">
        <v>21</v>
      </c>
      <c r="AC6" s="28"/>
      <c r="AD6" s="33" t="s">
        <v>36</v>
      </c>
      <c r="AE6" s="33"/>
      <c r="AF6" s="40" t="s">
        <v>37</v>
      </c>
      <c r="AG6" s="40" t="s">
        <v>38</v>
      </c>
      <c r="AH6" s="28" t="s">
        <v>32</v>
      </c>
      <c r="AI6" s="28" t="s">
        <v>33</v>
      </c>
      <c r="AJ6" s="33" t="s">
        <v>36</v>
      </c>
      <c r="AK6" s="33"/>
      <c r="AN6" s="30"/>
      <c r="AO6" s="27"/>
      <c r="AP6" s="5"/>
    </row>
    <row ht="105.90000000000001" customHeight="1" r="7">
      <c r="A7" s="18" t="s">
        <v>39</v>
      </c>
      <c r="B7" s="41" t="s">
        <v>40</v>
      </c>
      <c r="C7" s="41"/>
      <c r="D7" s="41" t="s">
        <v>40</v>
      </c>
      <c r="E7" s="41"/>
      <c r="F7" s="21" t="s">
        <v>17</v>
      </c>
      <c r="G7" s="21"/>
      <c r="H7" s="34" t="s">
        <v>24</v>
      </c>
      <c r="I7" s="34"/>
      <c r="J7" s="22"/>
      <c r="K7" s="23"/>
      <c r="L7" s="34" t="s">
        <v>35</v>
      </c>
      <c r="M7" s="34"/>
      <c r="N7" s="35" t="s">
        <v>41</v>
      </c>
      <c r="O7" s="35"/>
      <c r="R7" s="36" t="s">
        <v>20</v>
      </c>
      <c r="S7" s="36"/>
      <c r="T7" s="28" t="s">
        <v>29</v>
      </c>
      <c r="U7" s="28" t="s">
        <v>30</v>
      </c>
      <c r="V7" s="35" t="s">
        <v>31</v>
      </c>
      <c r="W7" s="35"/>
      <c r="X7" s="35"/>
      <c r="Y7" s="35"/>
      <c r="Z7" s="42" t="s">
        <v>42</v>
      </c>
      <c r="AA7" s="42"/>
      <c r="AB7" s="28" t="s">
        <v>21</v>
      </c>
      <c r="AC7" s="28"/>
      <c r="AD7" s="33" t="s">
        <v>23</v>
      </c>
      <c r="AE7" s="33"/>
      <c r="AH7" s="28" t="s">
        <v>32</v>
      </c>
      <c r="AI7" s="28" t="s">
        <v>33</v>
      </c>
      <c r="AJ7" s="40" t="s">
        <v>38</v>
      </c>
      <c r="AM7" s="27"/>
      <c r="AN7" s="27"/>
      <c r="AO7" s="27"/>
      <c r="AP7" s="5"/>
    </row>
    <row ht="105.90000000000001" customHeight="1" r="8">
      <c r="A8" s="18" t="s">
        <v>43</v>
      </c>
      <c r="B8" s="40" t="s">
        <v>38</v>
      </c>
      <c r="C8" s="27"/>
      <c r="D8" s="27"/>
      <c r="E8" s="40" t="s">
        <v>37</v>
      </c>
      <c r="F8" s="21" t="s">
        <v>17</v>
      </c>
      <c r="G8" s="21"/>
      <c r="H8" s="34" t="s">
        <v>24</v>
      </c>
      <c r="I8" s="34"/>
      <c r="J8" s="22"/>
      <c r="K8" s="23"/>
      <c r="L8" s="34" t="s">
        <v>35</v>
      </c>
      <c r="M8" s="34"/>
      <c r="N8" s="35" t="s">
        <v>44</v>
      </c>
      <c r="O8" s="35"/>
      <c r="P8" s="40" t="s">
        <v>37</v>
      </c>
      <c r="Q8" s="27"/>
      <c r="R8" s="36" t="s">
        <v>27</v>
      </c>
      <c r="S8" s="36" t="s">
        <v>28</v>
      </c>
      <c r="T8" s="28" t="s">
        <v>29</v>
      </c>
      <c r="U8" s="28" t="s">
        <v>30</v>
      </c>
      <c r="V8" s="35" t="s">
        <v>31</v>
      </c>
      <c r="W8" s="35"/>
      <c r="X8" s="35"/>
      <c r="Y8" s="35"/>
      <c r="Z8" s="42" t="s">
        <v>45</v>
      </c>
      <c r="AA8" s="42" t="s">
        <v>46</v>
      </c>
      <c r="AB8" s="40" t="s">
        <v>38</v>
      </c>
      <c r="AC8" s="40" t="s">
        <v>37</v>
      </c>
      <c r="AD8" s="36" t="s">
        <v>27</v>
      </c>
      <c r="AE8" s="36" t="s">
        <v>28</v>
      </c>
      <c r="AF8" s="25" t="s">
        <v>20</v>
      </c>
      <c r="AG8" s="26"/>
      <c r="AH8" s="28" t="s">
        <v>47</v>
      </c>
      <c r="AI8" s="28"/>
      <c r="AJ8" s="40" t="s">
        <v>38</v>
      </c>
      <c r="AK8" s="40" t="s">
        <v>37</v>
      </c>
      <c r="AL8" s="40" t="s">
        <v>38</v>
      </c>
      <c r="AM8" s="43"/>
      <c r="AN8" s="27"/>
      <c r="AO8" s="27"/>
      <c r="AP8" s="5"/>
    </row>
    <row ht="78.75" customHeight="1" r="9">
      <c r="A9" s="44" t="s">
        <v>48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5"/>
    </row>
    <row ht="105.90000000000001" customHeight="1" r="10">
      <c r="A10" s="18" t="s">
        <v>49</v>
      </c>
      <c r="B10" s="42" t="s">
        <v>42</v>
      </c>
      <c r="C10" s="42"/>
      <c r="D10" s="24" t="s">
        <v>18</v>
      </c>
      <c r="E10" s="40" t="s">
        <v>37</v>
      </c>
      <c r="F10" s="24" t="s">
        <v>18</v>
      </c>
      <c r="G10" s="40" t="s">
        <v>37</v>
      </c>
      <c r="H10" s="46" t="s">
        <v>50</v>
      </c>
      <c r="I10" s="46"/>
      <c r="J10" s="46" t="s">
        <v>50</v>
      </c>
      <c r="K10" s="46"/>
      <c r="L10" s="47" t="s">
        <v>51</v>
      </c>
      <c r="M10" s="47"/>
      <c r="N10" s="39"/>
      <c r="O10" s="24" t="s">
        <v>19</v>
      </c>
      <c r="P10" s="28" t="s">
        <v>52</v>
      </c>
      <c r="Q10" s="28" t="s">
        <v>33</v>
      </c>
      <c r="R10" s="48"/>
      <c r="S10" s="48"/>
      <c r="T10" s="48"/>
      <c r="U10" s="48"/>
      <c r="V10" s="48"/>
      <c r="W10" s="48"/>
      <c r="X10" s="48"/>
      <c r="Y10" s="48"/>
      <c r="Z10" s="36" t="s">
        <v>53</v>
      </c>
      <c r="AA10" s="36" t="s">
        <v>54</v>
      </c>
      <c r="AB10" s="40" t="s">
        <v>38</v>
      </c>
      <c r="AC10" s="40" t="s">
        <v>37</v>
      </c>
      <c r="AD10" s="49" t="s">
        <v>55</v>
      </c>
      <c r="AE10" s="49"/>
      <c r="AF10" s="36" t="s">
        <v>27</v>
      </c>
      <c r="AG10" s="36" t="s">
        <v>28</v>
      </c>
      <c r="AH10" s="28" t="s">
        <v>56</v>
      </c>
      <c r="AI10" s="28"/>
      <c r="AJ10" s="49" t="s">
        <v>57</v>
      </c>
      <c r="AK10" s="49"/>
      <c r="AL10" s="49" t="s">
        <v>58</v>
      </c>
      <c r="AM10" s="49"/>
      <c r="AN10" s="36"/>
      <c r="AO10" s="27"/>
      <c r="AP10" s="5"/>
    </row>
    <row ht="105.90000000000001" customHeight="1" r="11">
      <c r="A11" s="18" t="s">
        <v>59</v>
      </c>
      <c r="B11" s="42" t="s">
        <v>45</v>
      </c>
      <c r="C11" s="42" t="s">
        <v>60</v>
      </c>
      <c r="D11" s="40" t="s">
        <v>38</v>
      </c>
      <c r="E11" s="40" t="s">
        <v>37</v>
      </c>
      <c r="F11" s="35" t="s">
        <v>61</v>
      </c>
      <c r="G11" s="35"/>
      <c r="H11" s="34" t="s">
        <v>62</v>
      </c>
      <c r="I11" s="34"/>
      <c r="J11" s="46" t="s">
        <v>50</v>
      </c>
      <c r="K11" s="46"/>
      <c r="L11" s="47" t="s">
        <v>51</v>
      </c>
      <c r="M11" s="47"/>
      <c r="N11" s="50"/>
      <c r="O11" s="24" t="s">
        <v>19</v>
      </c>
      <c r="P11" s="28" t="s">
        <v>63</v>
      </c>
      <c r="Q11" s="28"/>
      <c r="R11" s="49" t="s">
        <v>64</v>
      </c>
      <c r="S11" s="49"/>
      <c r="T11" s="42" t="s">
        <v>65</v>
      </c>
      <c r="U11" s="40" t="s">
        <v>37</v>
      </c>
      <c r="V11" s="35" t="s">
        <v>31</v>
      </c>
      <c r="W11" s="35"/>
      <c r="X11" s="35"/>
      <c r="Y11" s="35"/>
      <c r="Z11" s="40" t="s">
        <v>38</v>
      </c>
      <c r="AA11" s="42" t="s">
        <v>46</v>
      </c>
      <c r="AB11" s="28" t="s">
        <v>66</v>
      </c>
      <c r="AC11" s="28" t="s">
        <v>33</v>
      </c>
      <c r="AD11" s="36" t="s">
        <v>20</v>
      </c>
      <c r="AE11" s="36"/>
      <c r="AF11" s="36" t="s">
        <v>27</v>
      </c>
      <c r="AG11" s="36" t="s">
        <v>28</v>
      </c>
      <c r="AH11" s="28" t="s">
        <v>67</v>
      </c>
      <c r="AI11" s="28" t="s">
        <v>68</v>
      </c>
      <c r="AJ11" s="40" t="s">
        <v>37</v>
      </c>
      <c r="AK11" s="40" t="s">
        <v>38</v>
      </c>
      <c r="AL11" s="49" t="s">
        <v>57</v>
      </c>
      <c r="AM11" s="49"/>
      <c r="AN11" s="42" t="s">
        <v>65</v>
      </c>
      <c r="AO11" s="42" t="s">
        <v>60</v>
      </c>
      <c r="AS11" s="51"/>
    </row>
    <row ht="105.90000000000001" customHeight="1" r="12">
      <c r="A12" s="18" t="s">
        <v>69</v>
      </c>
      <c r="C12" s="42" t="s">
        <v>60</v>
      </c>
      <c r="D12" s="52" t="s">
        <v>70</v>
      </c>
      <c r="E12" s="52"/>
      <c r="F12" s="35" t="s">
        <v>71</v>
      </c>
      <c r="G12" s="35"/>
      <c r="H12" s="34" t="s">
        <v>62</v>
      </c>
      <c r="I12" s="34"/>
      <c r="J12" s="46" t="s">
        <v>50</v>
      </c>
      <c r="K12" s="46"/>
      <c r="L12" s="47" t="s">
        <v>51</v>
      </c>
      <c r="M12" s="47"/>
      <c r="N12" s="50"/>
      <c r="O12" s="24" t="s">
        <v>19</v>
      </c>
      <c r="P12" s="49" t="s">
        <v>58</v>
      </c>
      <c r="Q12" s="49"/>
      <c r="R12" s="49" t="s">
        <v>64</v>
      </c>
      <c r="S12" s="49"/>
      <c r="T12" s="42" t="s">
        <v>72</v>
      </c>
      <c r="U12" s="42"/>
      <c r="V12" s="35" t="s">
        <v>31</v>
      </c>
      <c r="W12" s="35"/>
      <c r="X12" s="35"/>
      <c r="Y12" s="35"/>
      <c r="Z12" s="36" t="s">
        <v>53</v>
      </c>
      <c r="AA12" s="36" t="s">
        <v>54</v>
      </c>
      <c r="AB12" s="33" t="s">
        <v>23</v>
      </c>
      <c r="AC12" s="33"/>
      <c r="AD12" s="42" t="s">
        <v>45</v>
      </c>
      <c r="AE12" s="53" t="s">
        <v>37</v>
      </c>
      <c r="AF12" s="25" t="s">
        <v>20</v>
      </c>
      <c r="AG12" s="26"/>
      <c r="AH12" s="49" t="s">
        <v>57</v>
      </c>
      <c r="AI12" s="49"/>
      <c r="AJ12" s="49" t="s">
        <v>57</v>
      </c>
      <c r="AK12" s="49"/>
      <c r="AL12" s="28" t="s">
        <v>73</v>
      </c>
      <c r="AM12" s="28"/>
      <c r="AN12" s="54"/>
      <c r="AO12" s="54"/>
      <c r="AP12" s="55"/>
    </row>
    <row ht="105.90000000000001" customHeight="1" r="13">
      <c r="A13" s="18" t="s">
        <v>74</v>
      </c>
      <c r="B13" s="42" t="s">
        <v>45</v>
      </c>
      <c r="C13" s="42" t="s">
        <v>60</v>
      </c>
      <c r="D13" s="40" t="s">
        <v>38</v>
      </c>
      <c r="F13" s="35" t="s">
        <v>71</v>
      </c>
      <c r="G13" s="35"/>
      <c r="H13" s="34" t="s">
        <v>62</v>
      </c>
      <c r="I13" s="34"/>
      <c r="J13" s="46" t="s">
        <v>75</v>
      </c>
      <c r="K13" s="46"/>
      <c r="L13" s="47" t="s">
        <v>51</v>
      </c>
      <c r="M13" s="47"/>
      <c r="N13" s="42" t="s">
        <v>76</v>
      </c>
      <c r="O13" s="40" t="s">
        <v>37</v>
      </c>
      <c r="P13" s="49" t="s">
        <v>58</v>
      </c>
      <c r="Q13" s="49"/>
      <c r="S13" s="42" t="s">
        <v>77</v>
      </c>
      <c r="T13" s="42" t="s">
        <v>72</v>
      </c>
      <c r="U13" s="42"/>
      <c r="V13" s="35" t="s">
        <v>31</v>
      </c>
      <c r="W13" s="35"/>
      <c r="X13" s="35"/>
      <c r="Y13" s="35"/>
      <c r="Z13" s="42" t="s">
        <v>45</v>
      </c>
      <c r="AA13" s="42" t="s">
        <v>46</v>
      </c>
      <c r="AB13" s="28" t="s">
        <v>52</v>
      </c>
      <c r="AC13" s="28" t="s">
        <v>33</v>
      </c>
      <c r="AD13" s="56"/>
      <c r="AE13" s="56"/>
      <c r="AF13" s="56"/>
      <c r="AG13" s="56"/>
      <c r="AH13" s="56"/>
      <c r="AI13" s="56"/>
      <c r="AJ13" s="56"/>
      <c r="AK13" s="56"/>
      <c r="AL13" s="29"/>
    </row>
    <row ht="105.90000000000001" customHeight="1" r="14">
      <c r="A14" s="18" t="s">
        <v>78</v>
      </c>
      <c r="D14" s="40" t="s">
        <v>37</v>
      </c>
      <c r="E14" s="40" t="s">
        <v>38</v>
      </c>
      <c r="F14" s="35" t="s">
        <v>71</v>
      </c>
      <c r="G14" s="35"/>
      <c r="H14" s="34" t="s">
        <v>79</v>
      </c>
      <c r="I14" s="34"/>
      <c r="J14" s="46" t="s">
        <v>50</v>
      </c>
      <c r="K14" s="46"/>
      <c r="L14" s="47" t="s">
        <v>51</v>
      </c>
      <c r="M14" s="47"/>
      <c r="N14" s="47" t="s">
        <v>51</v>
      </c>
      <c r="O14" s="47"/>
      <c r="P14" s="49" t="s">
        <v>58</v>
      </c>
      <c r="Q14" s="49"/>
      <c r="R14" s="49" t="s">
        <v>64</v>
      </c>
      <c r="S14" s="49"/>
      <c r="T14" s="28" t="s">
        <v>80</v>
      </c>
      <c r="U14" s="28" t="s">
        <v>81</v>
      </c>
      <c r="V14" s="35" t="s">
        <v>82</v>
      </c>
      <c r="W14" s="35"/>
      <c r="X14" s="35"/>
      <c r="Y14" s="35"/>
      <c r="Z14" s="28" t="s">
        <v>52</v>
      </c>
      <c r="AA14" s="28" t="s">
        <v>33</v>
      </c>
      <c r="AB14" s="28" t="s">
        <v>52</v>
      </c>
      <c r="AC14" s="28" t="s">
        <v>33</v>
      </c>
      <c r="AD14" s="33" t="s">
        <v>83</v>
      </c>
      <c r="AE14" s="33"/>
      <c r="AF14" s="25" t="s">
        <v>20</v>
      </c>
      <c r="AG14" s="26"/>
      <c r="AH14" s="28" t="s">
        <v>84</v>
      </c>
      <c r="AI14" s="28"/>
      <c r="AJ14" s="40" t="s">
        <v>38</v>
      </c>
      <c r="AK14" s="40" t="s">
        <v>37</v>
      </c>
      <c r="AL14" s="40" t="s">
        <v>38</v>
      </c>
      <c r="AM14" s="57"/>
      <c r="AN14" s="57"/>
      <c r="AO14" s="58"/>
      <c r="AP14" s="5"/>
    </row>
    <row ht="56.700000000000003" customHeight="1" r="15">
      <c r="A15" s="39"/>
      <c r="B15" s="44" t="s">
        <v>48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</row>
    <row ht="12.75" customHeight="1"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</row>
    <row ht="12.75" customHeight="1"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</row>
    <row ht="12.75" customHeight="1"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</row>
    <row ht="12.75" customHeight="1" r="19"/>
    <row ht="12.75" customHeight="1" r="20"/>
    <row ht="12.75" customHeight="1" r="21"/>
    <row ht="30" customHeight="1" r="22">
      <c r="C22" s="59" t="s">
        <v>85</v>
      </c>
      <c r="D22" s="59" t="s">
        <v>86</v>
      </c>
      <c r="E22" s="60"/>
      <c r="F22" s="60"/>
      <c r="I22" s="56"/>
      <c r="J22" s="56"/>
      <c r="K22" s="22"/>
      <c r="L22" s="61"/>
    </row>
    <row ht="37.5" customHeight="1" r="23">
      <c r="C23" s="59" t="s">
        <v>87</v>
      </c>
      <c r="D23" s="59" t="s">
        <v>88</v>
      </c>
    </row>
    <row ht="12.75" customHeight="1" r="24"/>
    <row ht="12.75" customHeight="1" r="25"/>
    <row ht="12.75" customHeight="1" r="26"/>
    <row ht="86.549999999999997" customHeight="1" r="27">
      <c r="C27" s="62"/>
      <c r="D27" s="62"/>
      <c r="E27" s="49" t="s">
        <v>89</v>
      </c>
      <c r="F27" s="49"/>
      <c r="G27" s="33" t="s">
        <v>90</v>
      </c>
      <c r="H27" s="33"/>
      <c r="I27" s="20" t="s">
        <v>91</v>
      </c>
      <c r="J27" s="20"/>
      <c r="K27" s="28" t="s">
        <v>92</v>
      </c>
      <c r="L27" s="28"/>
      <c r="M27" s="63" t="s">
        <v>93</v>
      </c>
      <c r="N27" s="63"/>
      <c r="O27" s="64" t="s">
        <v>94</v>
      </c>
      <c r="P27" s="64"/>
      <c r="Q27" s="36" t="s">
        <v>95</v>
      </c>
      <c r="R27" s="65"/>
      <c r="S27" s="66"/>
      <c r="T27" s="66"/>
    </row>
    <row ht="56.700000000000003" customHeight="1" r="28">
      <c r="C28" s="67" t="s">
        <v>96</v>
      </c>
      <c r="D28" s="67"/>
      <c r="E28" s="68">
        <f>COUNTIFS($A$4:$AO$14,"*"&amp;E27&amp;"*",$A$4:$AO$14,"*"&amp;"CM"&amp;"*")*2</f>
        <v>8</v>
      </c>
      <c r="F28" s="68"/>
      <c r="G28" s="68">
        <f>COUNTIFS($A$4:$AO$14,"*"&amp;G27&amp;"*",$A$4:$AO$14,"*"&amp;"CM"&amp;"*")*2</f>
        <v>16</v>
      </c>
      <c r="H28" s="68"/>
      <c r="I28" s="68">
        <f>COUNTIFS($A$4:$AO$14,"*"&amp;I27&amp;"*",$A$4:$AO$14,"*"&amp;"CM"&amp;"*")*2</f>
        <v>8</v>
      </c>
      <c r="J28" s="68"/>
      <c r="K28" s="68">
        <f>COUNTIFS($A$4:$AO$14,"*"&amp;K27&amp;"*",$A$4:$AO$14,"*"&amp;"CM"&amp;"*")*2</f>
        <v>14</v>
      </c>
      <c r="L28" s="68"/>
      <c r="M28" s="68">
        <f>COUNTIFS($A$4:$AO$14,"*"&amp;M27&amp;"*",$A$4:$AO$14,"*"&amp;"CM"&amp;"*")*2</f>
        <v>8</v>
      </c>
      <c r="N28" s="68"/>
      <c r="O28" s="69">
        <f>COUNTIFS($C$4:$AO$14,"*"&amp;O27&amp;"*",$C$4:$AO$14,"*"&amp;"CM"&amp;"*")*2</f>
        <v>0</v>
      </c>
      <c r="P28" s="69"/>
      <c r="Q28" s="68">
        <f>COUNTIFS($A$4:$AO$14,"*"&amp;Q27&amp;"*",$A$4:$AO$14,"*"&amp;"CM"&amp;"*")*2</f>
        <v>12</v>
      </c>
      <c r="S28" s="70"/>
      <c r="T28" s="70"/>
    </row>
    <row ht="56.700000000000003" customHeight="1" r="29">
      <c r="A29" s="67" t="s">
        <v>85</v>
      </c>
      <c r="B29" s="67"/>
      <c r="C29" s="67" t="s">
        <v>97</v>
      </c>
      <c r="D29" s="67"/>
      <c r="E29" s="68">
        <f>COUNTIFS($A$4:$AO$14,"*"&amp;E27&amp;"*",$A$4:$AO$14,"*"&amp;"TD"&amp;"*")*2</f>
        <v>16</v>
      </c>
      <c r="F29" s="68"/>
      <c r="G29" s="68">
        <f>COUNTIFS($A$4:$AO$14,"*"&amp;G27&amp;"*",$A$4:$AO$14,"*"&amp;"TD"&amp;"*",$A$4:$AO$14,"*"&amp;"G1"&amp;"*")*2</f>
        <v>28</v>
      </c>
      <c r="H29" s="68"/>
      <c r="I29" s="68">
        <f>COUNTIFS($A$4:$AO$14,"*"&amp;I27&amp;"*",$A$4:$AO$14,"*"&amp;"TD"&amp;"*",$A$4:$AO$14,"*"&amp;"G1"&amp;"*")*2</f>
        <v>12</v>
      </c>
      <c r="J29" s="68"/>
      <c r="K29" s="68">
        <f>COUNTIFS($A$4:$AO$14,"*"&amp;K27&amp;"*",$A$4:$AO$14,"*"&amp;"TD"&amp;"*",$A$4:$AO$14,"*"&amp;"G1"&amp;"*")*2</f>
        <v>26</v>
      </c>
      <c r="L29" s="68"/>
      <c r="M29" s="68">
        <f>COUNTIFS($A$4:$AO$14,"*"&amp;M27&amp;"*",$A$4:$AO$14,"*"&amp;"TD"&amp;"*",$A$4:$AO$14,"*"&amp;"G1"&amp;"*")*2</f>
        <v>14</v>
      </c>
      <c r="N29" s="68"/>
      <c r="O29" s="68">
        <f>COUNTIFS($A$4:$AO$14,"*"&amp;O27&amp;"*",$A$4:$AO$14,"*"&amp;"G1"&amp;"*")*2</f>
        <v>12</v>
      </c>
      <c r="P29" s="68"/>
      <c r="Q29" s="68">
        <f>COUNTIFS($A$4:$AO$14,"*"&amp;Q27&amp;"*",$A$4:$AO$14,"*"&amp;"TD"&amp;"*",$A$4:$AO$14,"*"&amp;"G1"&amp;"*")*2</f>
        <v>16</v>
      </c>
      <c r="R29" s="70"/>
      <c r="S29" s="70"/>
      <c r="T29" s="70"/>
    </row>
    <row ht="70.5" customHeight="1" r="30">
      <c r="A30" s="71" t="s">
        <v>87</v>
      </c>
      <c r="B30" s="71"/>
      <c r="C30" s="71" t="s">
        <v>97</v>
      </c>
      <c r="D30" s="71"/>
      <c r="E30" s="72">
        <f>COUNTIFS($A$4:$AO$14,"*"&amp;E27&amp;"*",$A$4:$AO$14,"*"&amp;"TD"&amp;"*",$A$4:$AO$14,"*"&amp;"G1"&amp;"*")*2</f>
        <v>16</v>
      </c>
      <c r="F30" s="72"/>
      <c r="G30" s="72">
        <f>COUNTIFS($A$4:$AO$14,"*"&amp;G27&amp;"*",$A$4:$AO$14,"*"&amp;"TD"&amp;"*",$A$4:$AO$14,"*"&amp;"G2"&amp;"*")*2</f>
        <v>30</v>
      </c>
      <c r="H30" s="72"/>
      <c r="I30" s="72">
        <f>COUNTIFS($A$4:$AO$14,"*"&amp;I27&amp;"*",$A$4:$AO$14,"*"&amp;"TD"&amp;"*",$A$4:$AO$14,"*"&amp;"G2"&amp;"*")*2</f>
        <v>14</v>
      </c>
      <c r="J30" s="72"/>
      <c r="K30" s="72">
        <f>COUNTIFS($A$4:$AO$14,"*"&amp;K27&amp;"*",$A$4:$AO$14,"*"&amp;"TD"&amp;"*",$A$4:$AO$14,"*"&amp;"G2"&amp;"*")*2</f>
        <v>26</v>
      </c>
      <c r="L30" s="72"/>
      <c r="M30" s="72">
        <f>COUNTIFS($A$4:$AO$14,"*"&amp;M27&amp;"*",$A$4:$AO$14,"*"&amp;"TD"&amp;"*",$A$4:$AO$14,"*"&amp;"G2"&amp;"*")*2</f>
        <v>14</v>
      </c>
      <c r="N30" s="72"/>
      <c r="O30" s="73">
        <f>COUNTIFS($A$4:$AO$14,"*"&amp;O27&amp;"*",$A$4:$AO$14,"*"&amp;"G2"&amp;"*")*2</f>
        <v>12</v>
      </c>
      <c r="P30" s="73"/>
      <c r="Q30" s="72">
        <f>COUNTIFS($A$4:$AO$14,"*"&amp;Q27&amp;"*",$A$4:$AO$14,"*"&amp;"TD"&amp;"*",$A$4:$AO$14,"*"&amp;"G2"&amp;"*")*2</f>
        <v>16</v>
      </c>
      <c r="R30" s="70"/>
    </row>
    <row ht="12.75" customHeight="1" r="31"/>
    <row ht="12.75" customHeight="1" r="32">
      <c r="G32" s="74" t="s">
        <v>98</v>
      </c>
    </row>
    <row ht="12.75" customHeight="1" r="33"/>
    <row ht="12.75" customHeight="1" r="34"/>
    <row ht="12.75" customHeight="1" r="35"/>
    <row ht="12.75" customHeight="1" r="36"/>
    <row ht="12.75" customHeight="1" r="37"/>
    <row ht="12.75" customHeight="1" r="38"/>
    <row ht="12.75" customHeight="1" r="39"/>
    <row ht="12.75" customHeight="1" r="40"/>
    <row ht="12.75" customHeight="1" r="41"/>
    <row ht="12.75" customHeight="1" r="42"/>
    <row ht="12.75" customHeight="1" r="43"/>
    <row ht="12.75" customHeight="1" r="44"/>
    <row ht="12.75" customHeight="1" r="45"/>
    <row ht="12.75" customHeight="1" r="46"/>
    <row ht="12.75" customHeight="1" r="47"/>
    <row ht="12.75" customHeight="1" r="48"/>
    <row ht="12.75" customHeight="1" r="49"/>
    <row ht="12.75" customHeight="1" r="50"/>
    <row ht="12.75" customHeight="1" r="51"/>
    <row ht="12.75" customHeight="1" r="52"/>
    <row ht="12.75" customHeight="1" r="53"/>
    <row ht="12.75" customHeight="1" r="54"/>
    <row ht="12.75" customHeight="1" r="55"/>
    <row ht="12.75" customHeight="1" r="56"/>
    <row ht="12.75" customHeight="1" r="57"/>
    <row ht="12.75" customHeight="1" r="58"/>
    <row ht="12.75" customHeight="1" r="59"/>
    <row ht="12.75" customHeight="1" r="60"/>
    <row ht="12.75" customHeight="1" r="61"/>
    <row ht="12.75" customHeight="1" r="62"/>
    <row ht="12.75" customHeight="1" r="63"/>
    <row ht="12.75" customHeight="1" r="64"/>
    <row ht="12.75" customHeight="1" r="65"/>
    <row ht="12.75" customHeight="1" r="66"/>
    <row ht="12.75" customHeight="1" r="67"/>
    <row ht="12.75" customHeight="1" r="68"/>
    <row ht="12.75" customHeight="1" r="69"/>
    <row ht="12.75" customHeight="1" r="70"/>
    <row ht="12.75" customHeight="1" r="71"/>
    <row ht="12.75" customHeight="1" r="72"/>
    <row ht="12.75" customHeight="1" r="73"/>
    <row ht="12.75" customHeight="1" r="74"/>
    <row ht="12.75" customHeight="1" r="75"/>
    <row ht="12.75" customHeight="1" r="76"/>
    <row ht="12.75" customHeight="1" r="77"/>
    <row ht="12.75" customHeight="1" r="78"/>
    <row ht="12.75" customHeight="1" r="79"/>
    <row ht="12.75" customHeight="1" r="80"/>
    <row ht="12.75" customHeight="1" r="81"/>
    <row ht="12.75" customHeight="1" r="82"/>
    <row ht="12.75" customHeight="1" r="83"/>
    <row ht="12.75" customHeight="1" r="84"/>
    <row ht="12.75" customHeight="1" r="85"/>
    <row ht="12.75" customHeight="1" r="86"/>
    <row ht="12.75" customHeight="1" r="87"/>
    <row ht="12.75" customHeight="1" r="88"/>
    <row ht="12.75" customHeight="1" r="89"/>
    <row ht="12.75" customHeight="1" r="90"/>
    <row ht="12.75" customHeight="1" r="91"/>
    <row ht="12.75" customHeight="1" r="92"/>
    <row ht="12.75" customHeight="1" r="93"/>
    <row ht="12.75" customHeight="1" r="94"/>
    <row ht="12.75" customHeight="1" r="95"/>
    <row ht="12.75" customHeight="1" r="96"/>
    <row ht="12.75" customHeight="1" r="97"/>
    <row ht="12.75" customHeight="1" r="98"/>
    <row ht="12.75" customHeight="1" r="99"/>
    <row ht="12.75" customHeight="1" r="100"/>
    <row ht="12.75" customHeight="1" r="101"/>
    <row ht="12.75" customHeight="1" r="102"/>
    <row ht="12.75" customHeight="1" r="103"/>
    <row ht="12.75" customHeight="1" r="104"/>
    <row ht="12.75" customHeight="1" r="105"/>
    <row ht="12.75" customHeight="1" r="106"/>
    <row ht="12.75" customHeight="1" r="107"/>
    <row ht="12.75" customHeight="1" r="108"/>
    <row ht="12.75" customHeight="1" r="109"/>
    <row ht="12.75" customHeight="1" r="110"/>
    <row ht="12.75" customHeight="1" r="111"/>
    <row ht="12.75" customHeight="1" r="112"/>
    <row ht="12.75" customHeight="1" r="113"/>
    <row ht="12.75" customHeight="1" r="114"/>
    <row ht="12.75" customHeight="1" r="115"/>
    <row ht="12.75" customHeight="1" r="116"/>
    <row ht="12.75" customHeight="1" r="117"/>
    <row ht="12.75" customHeight="1" r="118"/>
    <row ht="12.75" customHeight="1" r="119"/>
    <row ht="12.75" customHeight="1" r="120"/>
    <row ht="12.75" customHeight="1" r="121"/>
    <row ht="12.75" customHeight="1" r="122"/>
    <row ht="12.75" customHeight="1" r="123"/>
    <row ht="12.75" customHeight="1" r="124"/>
    <row ht="12.75" customHeight="1" r="125"/>
    <row ht="12.75" customHeight="1" r="126"/>
    <row ht="12.75" customHeight="1" r="127"/>
    <row ht="12.75" customHeight="1" r="128"/>
    <row ht="12.75" customHeight="1" r="129"/>
    <row ht="12.75" customHeight="1" r="130"/>
    <row ht="12.75" customHeight="1" r="131"/>
    <row ht="12.75" customHeight="1" r="132"/>
    <row ht="12.75" customHeight="1" r="133"/>
    <row ht="12.75" customHeight="1" r="134"/>
    <row ht="12.75" customHeight="1" r="135"/>
    <row ht="12.75" customHeight="1" r="136"/>
    <row ht="12.75" customHeight="1" r="137"/>
    <row ht="12.75" customHeight="1" r="138"/>
    <row ht="12.75" customHeight="1" r="139"/>
    <row ht="12.75" customHeight="1" r="140"/>
    <row ht="12.75" customHeight="1" r="141"/>
    <row ht="12.75" customHeight="1" r="142"/>
    <row ht="12.75" customHeight="1" r="143"/>
    <row ht="12.75" customHeight="1" r="144"/>
    <row ht="12.75" customHeight="1" r="145"/>
    <row ht="12.75" customHeight="1" r="146"/>
    <row ht="12.75" customHeight="1" r="147"/>
    <row ht="12.75" customHeight="1" r="148"/>
    <row ht="12.75" customHeight="1" r="149"/>
    <row ht="12.75" customHeight="1" r="150"/>
    <row ht="12.75" customHeight="1" r="151"/>
    <row ht="12.75" customHeight="1" r="152"/>
    <row ht="12.75" customHeight="1" r="153"/>
    <row ht="12.75" customHeight="1" r="154"/>
    <row ht="12.75" customHeight="1" r="155"/>
    <row ht="12.75" customHeight="1" r="156"/>
    <row ht="12.75" customHeight="1" r="157"/>
    <row ht="12.75" customHeight="1" r="158"/>
    <row ht="12.75" customHeight="1" r="159"/>
    <row ht="12.75" customHeight="1" r="160"/>
    <row ht="12.75" customHeight="1" r="161"/>
    <row ht="12.75" customHeight="1" r="162"/>
    <row ht="12.75" customHeight="1" r="163"/>
    <row ht="12.75" customHeight="1" r="164"/>
    <row ht="12.75" customHeight="1" r="165"/>
    <row ht="12.75" customHeight="1" r="166"/>
    <row ht="12.75" customHeight="1" r="167"/>
    <row ht="12.75" customHeight="1" r="168"/>
    <row ht="12.75" customHeight="1" r="169"/>
    <row ht="12.75" customHeight="1" r="170"/>
    <row ht="12.75" customHeight="1" r="171"/>
    <row ht="12.75" customHeight="1" r="172"/>
    <row ht="12.75" customHeight="1" r="173"/>
    <row ht="12.75" customHeight="1" r="174"/>
    <row ht="12.75" customHeight="1" r="175"/>
    <row ht="12.75" customHeight="1" r="176"/>
    <row ht="12.75" customHeight="1" r="177"/>
    <row ht="12.75" customHeight="1" r="178"/>
    <row ht="12.75" customHeight="1" r="179"/>
    <row ht="12.75" customHeight="1" r="180"/>
    <row ht="12.75" customHeight="1" r="181"/>
    <row ht="12.75" customHeight="1" r="182"/>
    <row ht="12.75" customHeight="1" r="183"/>
    <row ht="12.75" customHeight="1" r="184"/>
    <row ht="12.75" customHeight="1" r="185"/>
    <row ht="12.75" customHeight="1" r="186"/>
    <row ht="12.75" customHeight="1" r="187"/>
    <row ht="12.75" customHeight="1" r="188"/>
    <row ht="12.75" customHeight="1" r="189"/>
    <row ht="12.75" customHeight="1" r="190"/>
    <row ht="12.75" customHeight="1" r="191"/>
    <row ht="12.75" customHeight="1" r="192"/>
    <row ht="12.75" customHeight="1" r="193"/>
    <row ht="12.75" customHeight="1" r="194"/>
    <row ht="12.75" customHeight="1" r="195"/>
    <row ht="12.75" customHeight="1" r="196"/>
    <row ht="12.75" customHeight="1" r="197"/>
    <row ht="12.75" customHeight="1" r="198"/>
    <row ht="12.75" customHeight="1" r="199"/>
    <row ht="12.75" customHeight="1" r="200"/>
    <row ht="12.75" customHeight="1" r="201"/>
    <row ht="12.75" customHeight="1" r="202"/>
    <row ht="12.75" customHeight="1" r="203"/>
    <row ht="12.75" customHeight="1" r="204"/>
    <row ht="12.75" customHeight="1" r="205"/>
    <row ht="12.75" customHeight="1" r="206"/>
    <row ht="12.75" customHeight="1" r="207"/>
    <row ht="12.75" customHeight="1" r="208"/>
    <row ht="12.75" customHeight="1" r="209"/>
    <row ht="12.75" customHeight="1" r="210"/>
    <row ht="12.75" customHeight="1" r="211"/>
    <row ht="12.75" customHeight="1" r="212"/>
    <row ht="12.75" customHeight="1" r="213"/>
    <row ht="12.75" customHeight="1" r="214"/>
    <row ht="12.75" customHeight="1" r="215"/>
    <row ht="12.75" customHeight="1" r="216"/>
    <row ht="12.75" customHeight="1" r="217"/>
    <row ht="12.75" customHeight="1" r="218"/>
    <row ht="12.75" customHeight="1" r="219"/>
    <row ht="12.75" customHeight="1" r="220"/>
    <row ht="12.75" customHeight="1" r="221"/>
    <row ht="12.75" customHeight="1" r="222"/>
    <row ht="12.75" customHeight="1" r="223"/>
    <row ht="12.75" customHeight="1" r="224"/>
    <row ht="12.75" customHeight="1" r="225"/>
    <row ht="12.75" customHeight="1" r="226"/>
    <row ht="12.75" customHeight="1" r="227"/>
    <row ht="12.75" customHeight="1" r="228"/>
    <row ht="12.75" customHeight="1" r="229"/>
    <row ht="12.75" customHeight="1" r="230"/>
    <row ht="12.75" customHeight="1" r="231"/>
    <row ht="12.75" customHeight="1" r="232"/>
    <row ht="12.75" customHeight="1" r="233"/>
    <row ht="12.75" customHeight="1" r="234"/>
    <row ht="12.75" customHeight="1" r="235"/>
    <row ht="12.75" customHeight="1" r="236"/>
    <row ht="12.75" customHeight="1" r="237"/>
    <row ht="12.75" customHeight="1" r="238"/>
    <row ht="12.75" customHeight="1" r="239"/>
    <row ht="12.75" customHeight="1" r="240"/>
    <row ht="12.75" customHeight="1" r="241"/>
    <row ht="12.75" customHeight="1" r="242"/>
    <row ht="12.75" customHeight="1" r="243"/>
    <row ht="12.75" customHeight="1" r="244"/>
    <row ht="12.75" customHeight="1" r="245"/>
    <row ht="12.75" customHeight="1" r="246"/>
    <row ht="12.75" customHeight="1" r="247"/>
    <row ht="12.75" customHeight="1" r="248"/>
    <row ht="12.75" customHeight="1" r="249"/>
    <row ht="12.75" customHeight="1" r="250"/>
    <row ht="12.75" customHeight="1" r="251"/>
    <row ht="12.75" customHeight="1" r="252"/>
    <row ht="12.75" customHeight="1" r="253"/>
    <row ht="12.75" customHeight="1" r="254"/>
    <row ht="12.75" customHeight="1" r="255"/>
    <row ht="12.75" customHeight="1" r="256"/>
    <row ht="12.75" customHeight="1" r="257"/>
    <row ht="12.75" customHeight="1" r="258"/>
    <row ht="12.75" customHeight="1" r="259"/>
    <row ht="12.75" customHeight="1" r="260"/>
    <row ht="12.75" customHeight="1" r="261"/>
    <row ht="12.75" customHeight="1" r="262"/>
    <row ht="12.75" customHeight="1" r="263"/>
    <row ht="12.75" customHeight="1" r="264"/>
    <row ht="12.75" customHeight="1" r="265"/>
    <row ht="12.75" customHeight="1" r="266"/>
    <row ht="12.75" customHeight="1" r="267"/>
    <row ht="12.75" customHeight="1" r="268"/>
    <row ht="12.75" customHeight="1" r="269"/>
    <row ht="12.75" customHeight="1" r="270"/>
    <row ht="12.75" customHeight="1" r="271"/>
    <row ht="12.75" customHeight="1" r="272"/>
    <row ht="12.75" customHeight="1" r="273"/>
    <row ht="12.75" customHeight="1" r="274"/>
    <row ht="12.75" customHeight="1" r="275"/>
    <row ht="12.75" customHeight="1" r="276"/>
    <row ht="12.75" customHeight="1" r="277"/>
    <row ht="12.75" customHeight="1" r="278"/>
    <row ht="12.75" customHeight="1" r="279"/>
    <row ht="12.75" customHeight="1" r="280"/>
    <row ht="12.75" customHeight="1" r="281"/>
    <row ht="12.75" customHeight="1" r="282"/>
    <row ht="12.75" customHeight="1" r="283"/>
    <row ht="12.75" customHeight="1" r="284"/>
    <row ht="12.75" customHeight="1" r="285"/>
    <row ht="12.75" customHeight="1" r="286"/>
    <row ht="12.75" customHeight="1" r="287"/>
    <row ht="12.75" customHeight="1" r="288"/>
    <row ht="12.75" customHeight="1" r="289"/>
    <row ht="12.75" customHeight="1" r="290"/>
    <row ht="12.75" customHeight="1" r="291"/>
    <row ht="12.75" customHeight="1" r="292"/>
    <row ht="12.75" customHeight="1" r="293"/>
    <row ht="12.75" customHeight="1" r="294"/>
    <row ht="12.75" customHeight="1" r="295"/>
    <row ht="12.75" customHeight="1" r="296"/>
    <row ht="12.75" customHeight="1" r="297"/>
    <row ht="12.75" customHeight="1" r="298"/>
    <row ht="12.75" customHeight="1" r="299"/>
    <row ht="12.75" customHeight="1" r="300"/>
    <row ht="12.75" customHeight="1" r="301"/>
    <row ht="12.75" customHeight="1" r="302"/>
    <row ht="12.75" customHeight="1" r="303"/>
    <row ht="12.75" customHeight="1" r="304"/>
    <row ht="12.75" customHeight="1" r="305"/>
    <row ht="12.75" customHeight="1" r="306"/>
    <row ht="12.75" customHeight="1" r="307"/>
    <row ht="12.75" customHeight="1" r="308"/>
    <row ht="12.75" customHeight="1" r="309"/>
    <row ht="12.75" customHeight="1" r="310"/>
    <row ht="12.75" customHeight="1" r="311"/>
    <row ht="12.75" customHeight="1" r="312"/>
    <row ht="12.75" customHeight="1" r="313"/>
    <row ht="12.75" customHeight="1" r="314"/>
    <row ht="12.75" customHeight="1" r="315"/>
    <row ht="12.75" customHeight="1" r="316"/>
    <row ht="12.75" customHeight="1" r="317"/>
    <row ht="12.75" customHeight="1" r="318"/>
    <row ht="12.75" customHeight="1" r="319"/>
    <row ht="12.75" customHeight="1" r="320"/>
    <row ht="12.75" customHeight="1" r="321"/>
    <row ht="12.75" customHeight="1" r="322"/>
    <row ht="12.75" customHeight="1" r="323"/>
    <row ht="12.75" customHeight="1" r="324"/>
    <row ht="12.75" customHeight="1" r="325"/>
    <row ht="12.75" customHeight="1" r="326"/>
    <row ht="12.75" customHeight="1" r="327"/>
    <row ht="12.75" customHeight="1" r="328"/>
    <row ht="12.75" customHeight="1" r="329"/>
    <row ht="12.75" customHeight="1" r="330"/>
    <row ht="12.75" customHeight="1" r="331"/>
    <row ht="12.75" customHeight="1" r="332"/>
    <row ht="12.75" customHeight="1" r="333"/>
    <row ht="12.75" customHeight="1" r="334"/>
    <row ht="12.75" customHeight="1" r="335"/>
    <row ht="12.75" customHeight="1" r="336"/>
    <row ht="12.75" customHeight="1" r="337"/>
    <row ht="12.75" customHeight="1" r="338"/>
    <row ht="12.75" customHeight="1" r="339"/>
    <row ht="12.75" customHeight="1" r="340"/>
    <row ht="12.75" customHeight="1" r="341"/>
    <row ht="12.75" customHeight="1" r="342"/>
    <row ht="12.75" customHeight="1" r="343"/>
    <row ht="12.75" customHeight="1" r="344"/>
    <row ht="12.75" customHeight="1" r="345"/>
    <row ht="12.75" customHeight="1" r="346"/>
    <row ht="12.75" customHeight="1" r="347"/>
    <row ht="12.75" customHeight="1" r="348"/>
    <row ht="12.75" customHeight="1" r="349"/>
    <row ht="12.75" customHeight="1" r="350"/>
    <row ht="12.75" customHeight="1" r="351"/>
    <row ht="12.75" customHeight="1" r="352"/>
    <row ht="12.75" customHeight="1" r="353"/>
    <row ht="12.75" customHeight="1" r="354"/>
    <row ht="12.75" customHeight="1" r="355"/>
    <row ht="12.75" customHeight="1" r="356"/>
    <row ht="12.75" customHeight="1" r="357"/>
    <row ht="12.75" customHeight="1" r="358"/>
    <row ht="12.75" customHeight="1" r="359"/>
    <row ht="12.75" customHeight="1" r="360"/>
    <row ht="12.75" customHeight="1" r="361"/>
    <row ht="12.75" customHeight="1" r="362"/>
    <row ht="12.75" customHeight="1" r="363"/>
    <row ht="12.75" customHeight="1" r="364"/>
    <row ht="12.75" customHeight="1" r="365"/>
    <row ht="12.75" customHeight="1" r="366"/>
    <row ht="12.75" customHeight="1" r="367"/>
    <row ht="12.75" customHeight="1" r="368"/>
    <row ht="12.75" customHeight="1" r="369"/>
    <row ht="12.75" customHeight="1" r="370"/>
    <row ht="12.75" customHeight="1" r="371"/>
    <row ht="12.75" customHeight="1" r="372"/>
    <row ht="12.75" customHeight="1" r="373"/>
    <row ht="12.75" customHeight="1" r="374"/>
    <row ht="12.75" customHeight="1" r="375"/>
    <row ht="12.75" customHeight="1" r="376"/>
    <row ht="12.75" customHeight="1" r="377"/>
    <row ht="12.75" customHeight="1" r="378"/>
    <row ht="12.75" customHeight="1" r="379"/>
    <row ht="12.75" customHeight="1" r="380"/>
    <row ht="12.75" customHeight="1" r="381"/>
    <row ht="12.75" customHeight="1" r="382"/>
    <row ht="12.75" customHeight="1" r="383"/>
    <row ht="12.75" customHeight="1" r="384"/>
    <row ht="12.75" customHeight="1" r="385"/>
    <row ht="12.75" customHeight="1" r="386"/>
    <row ht="12.75" customHeight="1" r="387"/>
    <row ht="12.75" customHeight="1" r="388"/>
    <row ht="12.75" customHeight="1" r="389"/>
    <row ht="12.75" customHeight="1" r="390"/>
    <row ht="12.75" customHeight="1" r="391"/>
    <row ht="12.75" customHeight="1" r="392"/>
    <row ht="12.75" customHeight="1" r="393"/>
    <row ht="12.75" customHeight="1" r="394"/>
    <row ht="12.75" customHeight="1" r="395"/>
    <row ht="12.75" customHeight="1" r="396"/>
    <row ht="12.75" customHeight="1" r="397"/>
    <row ht="12.75" customHeight="1" r="398"/>
    <row ht="12.75" customHeight="1" r="399"/>
    <row ht="12.75" customHeight="1" r="400"/>
    <row ht="12.75" customHeight="1" r="401"/>
    <row ht="12.75" customHeight="1" r="402"/>
    <row ht="12.75" customHeight="1" r="403"/>
    <row ht="12.75" customHeight="1" r="404"/>
    <row ht="12.75" customHeight="1" r="405"/>
    <row ht="12.75" customHeight="1" r="406"/>
    <row ht="12.75" customHeight="1" r="407"/>
    <row ht="12.75" customHeight="1" r="408"/>
    <row ht="12.75" customHeight="1" r="409"/>
    <row ht="12.75" customHeight="1" r="410"/>
    <row ht="12.75" customHeight="1" r="411"/>
    <row ht="12.75" customHeight="1" r="412"/>
    <row ht="12.75" customHeight="1" r="413"/>
    <row ht="12.75" customHeight="1" r="414"/>
    <row ht="12.75" customHeight="1" r="415"/>
    <row ht="12.75" customHeight="1" r="416"/>
    <row ht="12.75" customHeight="1" r="417"/>
    <row ht="12.75" customHeight="1" r="418"/>
    <row ht="12.75" customHeight="1" r="419"/>
    <row ht="12.75" customHeight="1" r="420"/>
    <row ht="12.75" customHeight="1" r="421"/>
    <row ht="12.75" customHeight="1" r="422"/>
    <row ht="12.75" customHeight="1" r="423"/>
    <row ht="12.75" customHeight="1" r="424"/>
    <row ht="12.75" customHeight="1" r="425"/>
    <row ht="12.75" customHeight="1" r="426"/>
    <row ht="12.75" customHeight="1" r="427"/>
    <row ht="12.75" customHeight="1" r="428"/>
    <row ht="12.75" customHeight="1" r="429"/>
    <row ht="12.75" customHeight="1" r="430"/>
    <row ht="12.75" customHeight="1" r="431"/>
    <row ht="12.75" customHeight="1" r="432"/>
    <row ht="12.75" customHeight="1" r="433"/>
    <row ht="12.75" customHeight="1" r="434"/>
    <row ht="12.75" customHeight="1" r="435"/>
    <row ht="12.75" customHeight="1" r="436"/>
    <row ht="12.75" customHeight="1" r="437"/>
    <row ht="12.75" customHeight="1" r="438"/>
    <row ht="12.75" customHeight="1" r="439"/>
    <row ht="12.75" customHeight="1" r="440"/>
    <row ht="12.75" customHeight="1" r="441"/>
    <row ht="12.75" customHeight="1" r="442"/>
    <row ht="12.75" customHeight="1" r="443"/>
    <row ht="12.75" customHeight="1" r="444"/>
    <row ht="12.75" customHeight="1" r="445"/>
    <row ht="12.75" customHeight="1" r="446"/>
    <row ht="12.75" customHeight="1" r="447"/>
    <row ht="12.75" customHeight="1" r="448"/>
    <row ht="12.75" customHeight="1" r="449"/>
    <row ht="12.75" customHeight="1" r="450"/>
    <row ht="12.75" customHeight="1" r="451"/>
    <row ht="12.75" customHeight="1" r="452"/>
    <row ht="12.75" customHeight="1" r="453"/>
    <row ht="12.75" customHeight="1" r="454"/>
    <row ht="12.75" customHeight="1" r="455"/>
    <row ht="12.75" customHeight="1" r="456"/>
    <row ht="12.75" customHeight="1" r="457"/>
    <row ht="12.75" customHeight="1" r="458"/>
    <row ht="12.75" customHeight="1" r="459"/>
    <row ht="12.75" customHeight="1" r="460"/>
    <row ht="12.75" customHeight="1" r="461"/>
    <row ht="12.75" customHeight="1" r="462"/>
    <row ht="12.75" customHeight="1" r="463"/>
    <row ht="12.75" customHeight="1" r="464"/>
    <row ht="12.75" customHeight="1" r="465"/>
    <row ht="12.75" customHeight="1" r="466"/>
    <row ht="12.75" customHeight="1" r="467"/>
    <row ht="12.75" customHeight="1" r="468"/>
    <row ht="12.75" customHeight="1" r="469"/>
    <row ht="12.75" customHeight="1" r="470"/>
    <row ht="12.75" customHeight="1" r="471"/>
    <row ht="12.75" customHeight="1" r="472"/>
    <row ht="12.75" customHeight="1" r="473"/>
    <row ht="12.75" customHeight="1" r="474"/>
    <row ht="12.75" customHeight="1" r="475"/>
    <row ht="12.75" customHeight="1" r="476"/>
    <row ht="12.75" customHeight="1" r="477"/>
    <row ht="12.75" customHeight="1" r="478"/>
    <row ht="12.75" customHeight="1" r="479"/>
    <row ht="12.75" customHeight="1" r="480"/>
    <row ht="12.75" customHeight="1" r="481"/>
    <row ht="12.75" customHeight="1" r="482"/>
    <row ht="12.75" customHeight="1" r="483"/>
    <row ht="12.75" customHeight="1" r="484"/>
    <row ht="12.75" customHeight="1" r="485"/>
    <row ht="12.75" customHeight="1" r="486"/>
    <row ht="12.75" customHeight="1" r="487"/>
    <row ht="12.75" customHeight="1" r="488"/>
    <row ht="12.75" customHeight="1" r="489"/>
    <row ht="12.75" customHeight="1" r="490"/>
    <row ht="12.75" customHeight="1" r="491"/>
    <row ht="12.75" customHeight="1" r="492"/>
    <row ht="12.75" customHeight="1" r="493"/>
    <row ht="12.75" customHeight="1" r="494"/>
    <row ht="12.75" customHeight="1" r="495"/>
    <row ht="12.75" customHeight="1" r="496"/>
    <row ht="12.75" customHeight="1" r="497"/>
    <row ht="12.75" customHeight="1" r="498"/>
    <row ht="12.75" customHeight="1" r="499"/>
    <row ht="12.75" customHeight="1" r="500"/>
    <row ht="12.75" customHeight="1" r="501"/>
    <row ht="12.75" customHeight="1" r="502"/>
    <row ht="12.75" customHeight="1" r="503"/>
    <row ht="12.75" customHeight="1" r="504"/>
    <row ht="12.75" customHeight="1" r="505"/>
    <row ht="12.75" customHeight="1" r="506"/>
    <row ht="12.75" customHeight="1" r="507"/>
    <row ht="12.75" customHeight="1" r="508"/>
    <row ht="12.75" customHeight="1" r="509"/>
    <row ht="12.75" customHeight="1" r="510"/>
    <row ht="12.75" customHeight="1" r="511"/>
    <row ht="12.75" customHeight="1" r="512"/>
    <row ht="12.75" customHeight="1" r="513"/>
    <row ht="12.75" customHeight="1" r="514"/>
    <row ht="12.75" customHeight="1" r="515"/>
    <row ht="12.75" customHeight="1" r="516"/>
    <row ht="12.75" customHeight="1" r="517"/>
    <row ht="12.75" customHeight="1" r="518"/>
    <row ht="12.75" customHeight="1" r="519"/>
    <row ht="12.75" customHeight="1" r="520"/>
    <row ht="12.75" customHeight="1" r="521"/>
    <row ht="12.75" customHeight="1" r="522"/>
    <row ht="12.75" customHeight="1" r="523"/>
    <row ht="12.75" customHeight="1" r="524"/>
    <row ht="12.75" customHeight="1" r="525"/>
    <row ht="12.75" customHeight="1" r="526"/>
    <row ht="12.75" customHeight="1" r="527"/>
    <row ht="12.75" customHeight="1" r="528"/>
    <row ht="12.75" customHeight="1" r="529"/>
    <row ht="12.75" customHeight="1" r="530"/>
    <row ht="12.75" customHeight="1" r="531"/>
    <row ht="12.75" customHeight="1" r="532"/>
    <row ht="12.75" customHeight="1" r="533"/>
    <row ht="12.75" customHeight="1" r="534"/>
    <row ht="12.75" customHeight="1" r="535"/>
    <row ht="12.75" customHeight="1" r="536"/>
    <row ht="12.75" customHeight="1" r="537"/>
    <row ht="12.75" customHeight="1" r="538"/>
    <row ht="12.75" customHeight="1" r="539"/>
    <row ht="12.75" customHeight="1" r="540"/>
    <row ht="12.75" customHeight="1" r="541"/>
    <row ht="12.75" customHeight="1" r="542"/>
    <row ht="12.75" customHeight="1" r="543"/>
    <row ht="12.75" customHeight="1" r="544"/>
    <row ht="12.75" customHeight="1" r="545"/>
    <row ht="12.75" customHeight="1" r="546"/>
    <row ht="12.75" customHeight="1" r="547"/>
    <row ht="12.75" customHeight="1" r="548"/>
    <row ht="12.75" customHeight="1" r="549"/>
    <row ht="12.75" customHeight="1" r="550"/>
    <row ht="12.75" customHeight="1" r="551"/>
    <row ht="12.75" customHeight="1" r="552"/>
    <row ht="12.75" customHeight="1" r="553"/>
    <row ht="12.75" customHeight="1" r="554"/>
    <row ht="12.75" customHeight="1" r="555"/>
    <row ht="12.75" customHeight="1" r="556"/>
    <row ht="12.75" customHeight="1" r="557"/>
    <row ht="12.75" customHeight="1" r="558"/>
    <row ht="12.75" customHeight="1" r="559"/>
    <row ht="12.75" customHeight="1" r="560"/>
    <row ht="12.75" customHeight="1" r="561"/>
    <row ht="12.75" customHeight="1" r="562"/>
    <row ht="12.75" customHeight="1" r="563"/>
    <row ht="12.75" customHeight="1" r="564"/>
    <row ht="12.75" customHeight="1" r="565"/>
    <row ht="12.75" customHeight="1" r="566"/>
    <row ht="12.75" customHeight="1" r="567"/>
    <row ht="12.75" customHeight="1" r="568"/>
    <row ht="12.75" customHeight="1" r="569"/>
    <row ht="12.75" customHeight="1" r="570"/>
    <row ht="12.75" customHeight="1" r="571"/>
    <row ht="12.75" customHeight="1" r="572"/>
    <row ht="12.75" customHeight="1" r="573"/>
    <row ht="12.75" customHeight="1" r="574"/>
    <row ht="12.75" customHeight="1" r="575"/>
    <row ht="12.75" customHeight="1" r="576"/>
    <row ht="12.75" customHeight="1" r="577"/>
    <row ht="12.75" customHeight="1" r="578"/>
    <row ht="12.75" customHeight="1" r="579"/>
    <row ht="12.75" customHeight="1" r="580"/>
    <row ht="12.75" customHeight="1" r="581"/>
    <row ht="12.75" customHeight="1" r="582"/>
    <row ht="12.75" customHeight="1" r="583"/>
    <row ht="12.75" customHeight="1" r="584"/>
    <row ht="12.75" customHeight="1" r="585"/>
    <row ht="12.75" customHeight="1" r="586"/>
    <row ht="12.75" customHeight="1" r="587"/>
    <row ht="12.75" customHeight="1" r="588"/>
    <row ht="12.75" customHeight="1" r="589"/>
    <row ht="12.75" customHeight="1" r="590"/>
    <row ht="12.75" customHeight="1" r="591"/>
    <row ht="12.75" customHeight="1" r="592"/>
    <row ht="12.75" customHeight="1" r="593"/>
    <row ht="12.75" customHeight="1" r="594"/>
    <row ht="12.75" customHeight="1" r="595"/>
    <row ht="12.75" customHeight="1" r="596"/>
    <row ht="12.75" customHeight="1" r="597"/>
    <row ht="12.75" customHeight="1" r="598"/>
    <row ht="12.75" customHeight="1" r="599"/>
    <row ht="12.75" customHeight="1" r="600"/>
    <row ht="12.75" customHeight="1" r="601"/>
    <row ht="12.75" customHeight="1" r="602"/>
    <row ht="12.75" customHeight="1" r="603"/>
    <row ht="12.75" customHeight="1" r="604"/>
    <row ht="12.75" customHeight="1" r="605"/>
    <row ht="12.75" customHeight="1" r="606"/>
    <row ht="12.75" customHeight="1" r="607"/>
    <row ht="12.75" customHeight="1" r="608"/>
    <row ht="12.75" customHeight="1" r="609"/>
    <row ht="12.75" customHeight="1" r="610"/>
    <row ht="12.75" customHeight="1" r="611"/>
    <row ht="12.75" customHeight="1" r="612"/>
    <row ht="12.75" customHeight="1" r="613"/>
    <row ht="12.75" customHeight="1" r="614"/>
    <row ht="12.75" customHeight="1" r="615"/>
    <row ht="12.75" customHeight="1" r="616"/>
    <row ht="12.75" customHeight="1" r="617"/>
    <row ht="12.75" customHeight="1" r="618"/>
    <row ht="12.75" customHeight="1" r="619"/>
    <row ht="12.75" customHeight="1" r="620"/>
    <row ht="12.75" customHeight="1" r="621"/>
    <row ht="12.75" customHeight="1" r="622"/>
    <row ht="12.75" customHeight="1" r="623"/>
    <row ht="12.75" customHeight="1" r="624"/>
    <row ht="12.75" customHeight="1" r="625"/>
    <row ht="12.75" customHeight="1" r="626"/>
    <row ht="12.75" customHeight="1" r="627"/>
    <row ht="12.75" customHeight="1" r="628"/>
    <row ht="12.75" customHeight="1" r="629"/>
    <row ht="12.75" customHeight="1" r="630"/>
    <row ht="12.75" customHeight="1" r="631"/>
    <row ht="12.75" customHeight="1" r="632"/>
    <row ht="12.75" customHeight="1" r="633"/>
    <row ht="12.75" customHeight="1" r="634"/>
    <row ht="12.75" customHeight="1" r="635"/>
    <row ht="12.75" customHeight="1" r="636"/>
    <row ht="12.75" customHeight="1" r="637"/>
    <row ht="12.75" customHeight="1" r="638"/>
    <row ht="12.75" customHeight="1" r="639"/>
    <row ht="12.75" customHeight="1" r="640"/>
    <row ht="12.75" customHeight="1" r="641"/>
    <row ht="12.75" customHeight="1" r="642"/>
    <row ht="12.75" customHeight="1" r="643"/>
    <row ht="12.75" customHeight="1" r="644"/>
    <row ht="12.75" customHeight="1" r="645"/>
    <row ht="12.75" customHeight="1" r="646"/>
    <row ht="12.75" customHeight="1" r="647"/>
    <row ht="12.75" customHeight="1" r="648"/>
    <row ht="12.75" customHeight="1" r="649"/>
    <row ht="12.75" customHeight="1" r="650"/>
    <row ht="12.75" customHeight="1" r="651"/>
    <row ht="12.75" customHeight="1" r="652"/>
    <row ht="12.75" customHeight="1" r="653"/>
    <row ht="12.75" customHeight="1" r="654"/>
    <row ht="12.75" customHeight="1" r="655"/>
    <row ht="12.75" customHeight="1" r="656"/>
    <row ht="12.75" customHeight="1" r="657"/>
    <row ht="12.75" customHeight="1" r="658"/>
    <row ht="12.75" customHeight="1" r="659"/>
    <row ht="12.75" customHeight="1" r="660"/>
    <row ht="12.75" customHeight="1" r="661"/>
    <row ht="12.75" customHeight="1" r="662"/>
    <row ht="12.75" customHeight="1" r="663"/>
    <row ht="12.75" customHeight="1" r="664"/>
    <row ht="12.75" customHeight="1" r="665"/>
    <row ht="12.75" customHeight="1" r="666"/>
    <row ht="12.75" customHeight="1" r="667"/>
    <row ht="12.75" customHeight="1" r="668"/>
    <row ht="12.75" customHeight="1" r="669"/>
    <row ht="12.75" customHeight="1" r="670"/>
    <row ht="12.75" customHeight="1" r="671"/>
    <row ht="12.75" customHeight="1" r="672"/>
    <row ht="12.75" customHeight="1" r="673"/>
    <row ht="12.75" customHeight="1" r="674"/>
    <row ht="12.75" customHeight="1" r="675"/>
    <row ht="12.75" customHeight="1" r="676"/>
    <row ht="12.75" customHeight="1" r="677"/>
    <row ht="12.75" customHeight="1" r="678"/>
    <row ht="12.75" customHeight="1" r="679"/>
    <row ht="12.75" customHeight="1" r="680"/>
    <row ht="12.75" customHeight="1" r="681"/>
    <row ht="12.75" customHeight="1" r="682"/>
    <row ht="12.75" customHeight="1" r="683"/>
    <row ht="12.75" customHeight="1" r="684"/>
    <row ht="12.75" customHeight="1" r="685"/>
    <row ht="12.75" customHeight="1" r="686"/>
    <row ht="12.75" customHeight="1" r="687"/>
    <row ht="12.75" customHeight="1" r="688"/>
    <row ht="12.75" customHeight="1" r="689"/>
    <row ht="12.75" customHeight="1" r="690"/>
    <row ht="12.75" customHeight="1" r="691"/>
    <row ht="12.75" customHeight="1" r="692"/>
    <row ht="12.75" customHeight="1" r="693"/>
    <row ht="12.75" customHeight="1" r="694"/>
    <row ht="12.75" customHeight="1" r="695"/>
    <row ht="12.75" customHeight="1" r="696"/>
    <row ht="12.75" customHeight="1" r="697"/>
    <row ht="12.75" customHeight="1" r="698"/>
    <row ht="12.75" customHeight="1" r="699"/>
    <row ht="12.75" customHeight="1" r="700"/>
    <row ht="12.75" customHeight="1" r="701"/>
    <row ht="12.75" customHeight="1" r="702"/>
    <row ht="12.75" customHeight="1" r="703"/>
    <row ht="12.75" customHeight="1" r="704"/>
    <row ht="12.75" customHeight="1" r="705"/>
    <row ht="12.75" customHeight="1" r="706"/>
    <row ht="12.75" customHeight="1" r="707"/>
    <row ht="12.75" customHeight="1" r="708"/>
    <row ht="12.75" customHeight="1" r="709"/>
    <row ht="12.75" customHeight="1" r="710"/>
    <row ht="12.75" customHeight="1" r="711"/>
    <row ht="12.75" customHeight="1" r="712"/>
    <row ht="12.75" customHeight="1" r="713"/>
    <row ht="12.75" customHeight="1" r="714"/>
    <row ht="12.75" customHeight="1" r="715"/>
    <row ht="12.75" customHeight="1" r="716"/>
    <row ht="12.75" customHeight="1" r="717"/>
    <row ht="12.75" customHeight="1" r="718"/>
    <row ht="12.75" customHeight="1" r="719"/>
    <row ht="12.75" customHeight="1" r="720"/>
    <row ht="12.75" customHeight="1" r="721"/>
    <row ht="12.75" customHeight="1" r="722"/>
    <row ht="12.75" customHeight="1" r="723"/>
    <row ht="12.75" customHeight="1" r="724"/>
    <row ht="12.75" customHeight="1" r="725"/>
    <row ht="12.75" customHeight="1" r="726"/>
    <row ht="12.75" customHeight="1" r="727"/>
    <row ht="12.75" customHeight="1" r="728"/>
    <row ht="12.75" customHeight="1" r="729"/>
    <row ht="12.75" customHeight="1" r="730"/>
    <row ht="12.75" customHeight="1" r="731"/>
    <row ht="12.75" customHeight="1" r="732"/>
    <row ht="12.75" customHeight="1" r="733"/>
    <row ht="12.75" customHeight="1" r="734"/>
    <row ht="12.75" customHeight="1" r="735"/>
    <row ht="12.75" customHeight="1" r="736"/>
    <row ht="12.75" customHeight="1" r="737"/>
    <row ht="12.75" customHeight="1" r="738"/>
    <row ht="12.75" customHeight="1" r="739"/>
    <row ht="12.75" customHeight="1" r="740"/>
    <row ht="12.75" customHeight="1" r="741"/>
    <row ht="12.75" customHeight="1" r="742"/>
    <row ht="12.75" customHeight="1" r="743"/>
    <row ht="12.75" customHeight="1" r="744"/>
    <row ht="12.75" customHeight="1" r="745"/>
    <row ht="12.75" customHeight="1" r="746"/>
    <row ht="12.75" customHeight="1" r="747"/>
    <row ht="12.75" customHeight="1" r="748"/>
    <row ht="12.75" customHeight="1" r="749"/>
    <row ht="12.75" customHeight="1" r="750"/>
    <row ht="12.75" customHeight="1" r="751"/>
    <row ht="12.75" customHeight="1" r="752"/>
    <row ht="12.75" customHeight="1" r="753"/>
    <row ht="12.75" customHeight="1" r="754"/>
    <row ht="12.75" customHeight="1" r="755"/>
    <row ht="12.75" customHeight="1" r="756"/>
    <row ht="12.75" customHeight="1" r="757"/>
    <row ht="12.75" customHeight="1" r="758"/>
    <row ht="12.75" customHeight="1" r="759"/>
    <row ht="12.75" customHeight="1" r="760"/>
    <row ht="12.75" customHeight="1" r="761"/>
    <row ht="12.75" customHeight="1" r="762"/>
    <row ht="12.75" customHeight="1" r="763"/>
    <row ht="12.75" customHeight="1" r="764"/>
    <row ht="12.75" customHeight="1" r="765"/>
    <row ht="12.75" customHeight="1" r="766"/>
    <row ht="12.75" customHeight="1" r="767"/>
    <row ht="12.75" customHeight="1" r="768"/>
    <row ht="12.75" customHeight="1" r="769"/>
    <row ht="12.75" customHeight="1" r="770"/>
    <row ht="12.75" customHeight="1" r="771"/>
    <row ht="12.75" customHeight="1" r="772"/>
    <row ht="12.75" customHeight="1" r="773"/>
    <row ht="12.75" customHeight="1" r="774"/>
    <row ht="12.75" customHeight="1" r="775"/>
    <row ht="12.75" customHeight="1" r="776"/>
    <row ht="12.75" customHeight="1" r="777"/>
    <row ht="12.75" customHeight="1" r="778"/>
    <row ht="12.75" customHeight="1" r="779"/>
    <row ht="12.75" customHeight="1" r="780"/>
    <row ht="12.75" customHeight="1" r="781"/>
    <row ht="12.75" customHeight="1" r="782"/>
    <row ht="12.75" customHeight="1" r="783"/>
    <row ht="12.75" customHeight="1" r="784"/>
    <row ht="12.75" customHeight="1" r="785"/>
    <row ht="12.75" customHeight="1" r="786"/>
    <row ht="12.75" customHeight="1" r="787"/>
    <row ht="12.75" customHeight="1" r="788"/>
    <row ht="12.75" customHeight="1" r="789"/>
    <row ht="12.75" customHeight="1" r="790"/>
    <row ht="12.75" customHeight="1" r="791"/>
    <row ht="12.75" customHeight="1" r="792"/>
    <row ht="12.75" customHeight="1" r="793"/>
    <row ht="12.75" customHeight="1" r="794"/>
    <row ht="12.75" customHeight="1" r="795"/>
    <row ht="12.75" customHeight="1" r="796"/>
    <row ht="12.75" customHeight="1" r="797"/>
    <row ht="12.75" customHeight="1" r="798"/>
    <row ht="12.75" customHeight="1" r="799"/>
    <row ht="12.75" customHeight="1" r="800"/>
    <row ht="12.75" customHeight="1" r="801"/>
    <row ht="12.75" customHeight="1" r="802"/>
    <row ht="12.75" customHeight="1" r="803"/>
    <row ht="12.75" customHeight="1" r="804"/>
    <row ht="12.75" customHeight="1" r="805"/>
    <row ht="12.75" customHeight="1" r="806"/>
    <row ht="12.75" customHeight="1" r="807"/>
    <row ht="12.75" customHeight="1" r="808"/>
    <row ht="12.75" customHeight="1" r="809"/>
    <row ht="12.75" customHeight="1" r="810"/>
    <row ht="12.75" customHeight="1" r="811"/>
    <row ht="12.75" customHeight="1" r="812"/>
    <row ht="12.75" customHeight="1" r="813"/>
    <row ht="12.75" customHeight="1" r="814"/>
    <row ht="12.75" customHeight="1" r="815"/>
    <row ht="12.75" customHeight="1" r="816"/>
    <row ht="12.75" customHeight="1" r="817"/>
    <row ht="12.75" customHeight="1" r="818"/>
    <row ht="12.75" customHeight="1" r="819"/>
    <row ht="12.75" customHeight="1" r="820"/>
    <row ht="12.75" customHeight="1" r="821"/>
    <row ht="12.75" customHeight="1" r="822"/>
    <row ht="12.75" customHeight="1" r="823"/>
    <row ht="12.75" customHeight="1" r="824"/>
    <row ht="12.75" customHeight="1" r="825"/>
    <row ht="12.75" customHeight="1" r="826"/>
    <row ht="12.75" customHeight="1" r="827"/>
    <row ht="12.75" customHeight="1" r="828"/>
    <row ht="12.75" customHeight="1" r="829"/>
    <row ht="12.75" customHeight="1" r="830"/>
    <row ht="12.75" customHeight="1" r="831"/>
    <row ht="12.75" customHeight="1" r="832"/>
    <row ht="12.75" customHeight="1" r="833"/>
    <row ht="12.75" customHeight="1" r="834"/>
    <row ht="12.75" customHeight="1" r="835"/>
    <row ht="12.75" customHeight="1" r="836"/>
    <row ht="12.75" customHeight="1" r="837"/>
    <row ht="12.75" customHeight="1" r="838"/>
    <row ht="12.75" customHeight="1" r="839"/>
    <row ht="12.75" customHeight="1" r="840"/>
    <row ht="12.75" customHeight="1" r="841"/>
    <row ht="12.75" customHeight="1" r="842"/>
    <row ht="12.75" customHeight="1" r="843"/>
    <row ht="12.75" customHeight="1" r="844"/>
    <row ht="12.75" customHeight="1" r="845"/>
    <row ht="12.75" customHeight="1" r="846"/>
    <row ht="12.75" customHeight="1" r="847"/>
    <row ht="12.75" customHeight="1" r="848"/>
    <row ht="12.75" customHeight="1" r="849"/>
    <row ht="12.75" customHeight="1" r="850"/>
    <row ht="12.75" customHeight="1" r="851"/>
    <row ht="12.75" customHeight="1" r="852"/>
    <row ht="12.75" customHeight="1" r="853"/>
    <row ht="12.75" customHeight="1" r="854"/>
    <row ht="12.75" customHeight="1" r="855"/>
    <row ht="12.75" customHeight="1" r="856"/>
    <row ht="12.75" customHeight="1" r="857"/>
    <row ht="12.75" customHeight="1" r="858"/>
    <row ht="12.75" customHeight="1" r="859"/>
    <row ht="12.75" customHeight="1" r="860"/>
    <row ht="12.75" customHeight="1" r="861"/>
    <row ht="12.75" customHeight="1" r="862"/>
    <row ht="12.75" customHeight="1" r="863"/>
    <row ht="12.75" customHeight="1" r="864"/>
    <row ht="12.75" customHeight="1" r="865"/>
    <row ht="12.75" customHeight="1" r="866"/>
    <row ht="12.75" customHeight="1" r="867"/>
    <row ht="12.75" customHeight="1" r="868"/>
    <row ht="12.75" customHeight="1" r="869"/>
    <row ht="12.75" customHeight="1" r="870"/>
    <row ht="12.75" customHeight="1" r="871"/>
    <row ht="12.75" customHeight="1" r="872"/>
    <row ht="12.75" customHeight="1" r="873"/>
    <row ht="12.75" customHeight="1" r="874"/>
    <row ht="12.75" customHeight="1" r="875"/>
    <row ht="12.75" customHeight="1" r="876"/>
    <row ht="12.75" customHeight="1" r="877"/>
    <row ht="12.75" customHeight="1" r="878"/>
    <row ht="12.75" customHeight="1" r="879"/>
    <row ht="12.75" customHeight="1" r="880"/>
    <row ht="12.75" customHeight="1" r="881"/>
    <row ht="12.75" customHeight="1" r="882"/>
    <row ht="12.75" customHeight="1" r="883"/>
    <row ht="12.75" customHeight="1" r="884"/>
    <row ht="12.75" customHeight="1" r="885"/>
    <row ht="12.75" customHeight="1" r="886"/>
    <row ht="12.75" customHeight="1" r="887"/>
    <row ht="12.75" customHeight="1" r="888"/>
    <row ht="12.75" customHeight="1" r="889"/>
    <row ht="12.75" customHeight="1" r="890"/>
    <row ht="12.75" customHeight="1" r="891"/>
    <row ht="12.75" customHeight="1" r="892"/>
    <row ht="12.75" customHeight="1" r="893"/>
    <row ht="12.75" customHeight="1" r="894"/>
    <row ht="12.75" customHeight="1" r="895"/>
    <row ht="12.75" customHeight="1" r="896"/>
    <row ht="12.75" customHeight="1" r="897"/>
    <row ht="12.75" customHeight="1" r="898"/>
    <row ht="12.75" customHeight="1" r="899"/>
    <row ht="12.75" customHeight="1" r="900"/>
    <row ht="12.75" customHeight="1" r="901"/>
    <row ht="12.75" customHeight="1" r="902"/>
    <row ht="12.75" customHeight="1" r="903"/>
    <row ht="12.75" customHeight="1" r="904"/>
    <row ht="12.75" customHeight="1" r="905"/>
    <row ht="12.75" customHeight="1" r="906"/>
    <row ht="12.75" customHeight="1" r="907"/>
    <row ht="12.75" customHeight="1" r="908"/>
    <row ht="12.75" customHeight="1" r="909"/>
    <row ht="12.75" customHeight="1" r="910"/>
    <row ht="12.75" customHeight="1" r="911"/>
    <row ht="12.75" customHeight="1" r="912"/>
    <row ht="12.75" customHeight="1" r="913"/>
    <row ht="12.75" customHeight="1" r="914"/>
    <row ht="12.75" customHeight="1" r="1048543"/>
    <row ht="12.75" customHeight="1" r="1048544"/>
    <row ht="12.75" customHeight="1" r="1048545"/>
    <row ht="12.75" customHeight="1" r="1048546"/>
    <row ht="12.75" customHeight="1" r="1048547"/>
    <row ht="12.75" customHeight="1" r="1048548"/>
    <row ht="12.75" customHeight="1" r="1048549"/>
    <row ht="12.75" customHeight="1" r="1048550"/>
    <row ht="12.75" customHeight="1" r="1048551"/>
    <row ht="12.75" customHeight="1" r="1048552"/>
    <row ht="12.75" customHeight="1" r="1048553"/>
    <row ht="12.75" customHeight="1" r="1048554"/>
    <row ht="12.75" customHeight="1" r="1048555"/>
    <row ht="12.75" customHeight="1" r="1048556"/>
    <row ht="12.75" customHeight="1" r="1048557"/>
    <row ht="12.75" customHeight="1" r="1048558"/>
    <row ht="12.75" customHeight="1" r="1048559"/>
    <row ht="12.75" customHeight="1" r="1048560"/>
    <row ht="12.75" customHeight="1" r="1048561"/>
    <row ht="12.75" customHeight="1" r="1048562"/>
    <row ht="12.75" customHeight="1" r="1048563"/>
    <row ht="12.75" customHeight="1" r="1048564"/>
    <row ht="12.75" customHeight="1" r="1048565"/>
    <row ht="12.75" customHeight="1" r="1048566"/>
    <row ht="12.75" customHeight="1" r="1048567"/>
    <row ht="12.75" customHeight="1" r="1048568"/>
    <row ht="12.75" customHeight="1" r="1048569"/>
    <row ht="12.75" customHeight="1" r="1048570"/>
    <row ht="12.75" customHeight="1" r="1048571"/>
    <row ht="12.75" customHeight="1" r="1048572"/>
    <row ht="12.75" customHeight="1" r="1048573"/>
    <row ht="12.75" customHeight="1" r="1048574"/>
    <row ht="12.75" customHeight="1" r="1048575"/>
    <row ht="12.75" customHeight="1" r="1048576"/>
  </sheetData>
  <mergeCells count="122">
    <mergeCell ref="A1:AO1"/>
    <mergeCell ref="A2:A3"/>
    <mergeCell ref="B2:I2"/>
    <mergeCell ref="J2:Q2"/>
    <mergeCell ref="R2:Y2"/>
    <mergeCell ref="Z2:AG2"/>
    <mergeCell ref="AH2:A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B4:C4"/>
    <mergeCell ref="D4:E4"/>
    <mergeCell ref="F4:G4"/>
    <mergeCell ref="H4:I4"/>
    <mergeCell ref="L4:M4"/>
    <mergeCell ref="Z4:AA4"/>
    <mergeCell ref="AB4:AC4"/>
    <mergeCell ref="P4:Q4"/>
    <mergeCell ref="D5:E5"/>
    <mergeCell ref="F5:G5"/>
    <mergeCell ref="H5:I5"/>
    <mergeCell ref="L5:M5"/>
    <mergeCell ref="N5:O5"/>
    <mergeCell ref="V5:Y5"/>
    <mergeCell ref="AJ5:AK5"/>
    <mergeCell ref="AL5:AM5"/>
    <mergeCell ref="D6:E6"/>
    <mergeCell ref="F6:G6"/>
    <mergeCell ref="H6:I6"/>
    <mergeCell ref="L6:M6"/>
    <mergeCell ref="N6:O6"/>
    <mergeCell ref="V6:Y6"/>
    <mergeCell ref="AB6:AC6"/>
    <mergeCell ref="AD6:AE6"/>
    <mergeCell ref="AJ6:AK6"/>
    <mergeCell ref="B7:C7"/>
    <mergeCell ref="D7:E7"/>
    <mergeCell ref="F7:G7"/>
    <mergeCell ref="H7:I7"/>
    <mergeCell ref="L7:M7"/>
    <mergeCell ref="N7:O7"/>
    <mergeCell ref="R7:S7"/>
    <mergeCell ref="V7:Y7"/>
    <mergeCell ref="Z7:AA7"/>
    <mergeCell ref="AB7:AC7"/>
    <mergeCell ref="AD7:AE7"/>
    <mergeCell ref="F8:G8"/>
    <mergeCell ref="H8:I8"/>
    <mergeCell ref="L8:M8"/>
    <mergeCell ref="N8:O8"/>
    <mergeCell ref="V8:Y8"/>
    <mergeCell ref="AH8:AI8"/>
    <mergeCell ref="AF8:AG8"/>
    <mergeCell ref="A9:AO9"/>
    <mergeCell ref="B10:C10"/>
    <mergeCell ref="H10:I10"/>
    <mergeCell ref="J10:K10"/>
    <mergeCell ref="L10:M10"/>
    <mergeCell ref="AD10:AE10"/>
    <mergeCell ref="AH10:AI10"/>
    <mergeCell ref="AJ10:AK10"/>
    <mergeCell ref="AL10:AM10"/>
    <mergeCell ref="F11:G11"/>
    <mergeCell ref="H11:I11"/>
    <mergeCell ref="J11:K11"/>
    <mergeCell ref="L11:M11"/>
    <mergeCell ref="P11:Q11"/>
    <mergeCell ref="R11:S11"/>
    <mergeCell ref="V11:Y11"/>
    <mergeCell ref="AD11:AE11"/>
    <mergeCell ref="AL11:AM11"/>
    <mergeCell ref="D12:E12"/>
    <mergeCell ref="F12:G12"/>
    <mergeCell ref="H12:I12"/>
    <mergeCell ref="J12:K12"/>
    <mergeCell ref="L12:M12"/>
    <mergeCell ref="P12:Q12"/>
    <mergeCell ref="R12:S12"/>
    <mergeCell ref="T12:U12"/>
    <mergeCell ref="V12:Y12"/>
    <mergeCell ref="AB12:AC12"/>
    <mergeCell ref="AH12:AI12"/>
    <mergeCell ref="AJ12:AK12"/>
    <mergeCell ref="AL12:AM12"/>
    <mergeCell ref="AN12:AO12"/>
    <mergeCell ref="AF12:AG12"/>
    <mergeCell ref="F13:G13"/>
    <mergeCell ref="H13:I13"/>
    <mergeCell ref="J13:K13"/>
    <mergeCell ref="L13:M13"/>
    <mergeCell ref="P13:Q13"/>
    <mergeCell ref="T13:U13"/>
    <mergeCell ref="V13:Y13"/>
    <mergeCell ref="F14:G14"/>
    <mergeCell ref="H14:I14"/>
    <mergeCell ref="J14:K14"/>
    <mergeCell ref="L14:M14"/>
    <mergeCell ref="N14:O14"/>
    <mergeCell ref="P14:Q14"/>
    <mergeCell ref="R14:S14"/>
    <mergeCell ref="V14:Y14"/>
    <mergeCell ref="AD14:AE14"/>
    <mergeCell ref="AH14:AI14"/>
    <mergeCell ref="AF14:AG14"/>
    <mergeCell ref="B15:AO15"/>
  </mergeCells>
  <hyperlinks>
    <hyperlink r:id="rId1" ref="AE12"/>
  </hyperlinks>
  <printOptions headings="0" gridLines="1" gridLinesSet="1"/>
  <pageMargins left="0.25208333333333299" right="0.25208333333333299" top="0.75208333333333299" bottom="0.75208333333333299" header="0.5" footer="0.5"/>
  <pageSetup paperSize="8" orientation="landscape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ONLYOFFICE/5.2.4.94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